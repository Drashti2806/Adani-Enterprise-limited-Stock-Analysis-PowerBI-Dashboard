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5cd\Downloads\"/>
    </mc:Choice>
  </mc:AlternateContent>
  <xr:revisionPtr revIDLastSave="0" documentId="8_{C04DA48E-5AD6-4264-B08E-C9A44E483C08}" xr6:coauthVersionLast="47" xr6:coauthVersionMax="47" xr10:uidLastSave="{00000000-0000-0000-0000-000000000000}"/>
  <bookViews>
    <workbookView xWindow="-108" yWindow="-108" windowWidth="23256" windowHeight="12456" xr2:uid="{E22349AB-09C3-41B1-80CC-DE10A569FE75}"/>
  </bookViews>
  <sheets>
    <sheet name="Quote-Equity-ADANIENT-EQ-11-10-" sheetId="1" r:id="rId1"/>
  </sheets>
  <calcPr calcId="0"/>
</workbook>
</file>

<file path=xl/calcChain.xml><?xml version="1.0" encoding="utf-8"?>
<calcChain xmlns="http://schemas.openxmlformats.org/spreadsheetml/2006/main">
  <c r="D249" i="1" l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250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250" i="1"/>
  <c r="S1048551" i="1"/>
</calcChain>
</file>

<file path=xl/sharedStrings.xml><?xml version="1.0" encoding="utf-8"?>
<sst xmlns="http://schemas.openxmlformats.org/spreadsheetml/2006/main" count="266" uniqueCount="18">
  <si>
    <t xml:space="preserve">Date </t>
  </si>
  <si>
    <t xml:space="preserve">series </t>
  </si>
  <si>
    <t xml:space="preserve">OPEN </t>
  </si>
  <si>
    <t xml:space="preserve">HIGH </t>
  </si>
  <si>
    <t xml:space="preserve">LOW </t>
  </si>
  <si>
    <t xml:space="preserve">PREV. CLOSE </t>
  </si>
  <si>
    <t xml:space="preserve">ltp </t>
  </si>
  <si>
    <t xml:space="preserve">close </t>
  </si>
  <si>
    <t xml:space="preserve">vwap </t>
  </si>
  <si>
    <t xml:space="preserve">52W H </t>
  </si>
  <si>
    <t xml:space="preserve">52W L </t>
  </si>
  <si>
    <t xml:space="preserve">VOLUME </t>
  </si>
  <si>
    <t xml:space="preserve">No of trades </t>
  </si>
  <si>
    <t>EQ</t>
  </si>
  <si>
    <t>Day</t>
  </si>
  <si>
    <t>Month</t>
  </si>
  <si>
    <t>Year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</si>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</sst>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7665-F5A8-483B-B94B-6199DAADB5D6}">
  <dimension ref="A1:S1048551"/>
  <sheetViews>
    <sheetView tabSelected="1" workbookViewId="0">
      <pane ySplit="1" topLeftCell="A2" activePane="bottomLeft" state="frozen"/>
      <selection pane="bottomLeft" activeCell="F2" sqref="F2"/>
    </sheetView>
  </sheetViews>
  <sheetFormatPr defaultColWidth="12.109375" defaultRowHeight="14.4" x14ac:dyDescent="0.3"/>
  <cols>
    <col min="7" max="15" width="12.21875" bestFit="1" customWidth="1"/>
    <col min="16" max="16" width="12.21875" customWidth="1"/>
  </cols>
  <sheetData>
    <row r="1" spans="1:17" x14ac:dyDescent="0.3">
      <c r="A1" t="s">
        <v>0</v>
      </c>
      <c r="B1" t="s">
        <v>14</v>
      </c>
      <c r="C1" t="s">
        <v>15</v>
      </c>
      <c r="D1" t="s">
        <v>17</v>
      </c>
      <c r="E1" t="s">
        <v>16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17" x14ac:dyDescent="0.3">
      <c r="A2" s="1">
        <v>45210</v>
      </c>
      <c r="B2" s="1" t="str">
        <f>TEXT(A2,"dddd")</f>
        <v>Wednesday</v>
      </c>
      <c r="C2" s="1" t="str">
        <f>TEXT(A2,"mmmm")</f>
        <v>October</v>
      </c>
      <c r="D2" s="1" t="str">
        <f>"Q"&amp;ROUNDUP(MONTH(A2)/3,0)</f>
        <v>Q4</v>
      </c>
      <c r="E2" s="1" t="str">
        <f>TEXT(A2,"yyyy")</f>
        <v>2023</v>
      </c>
      <c r="F2" t="s">
        <v>13</v>
      </c>
      <c r="G2" s="2">
        <v>2533.9</v>
      </c>
      <c r="H2" s="2">
        <v>2538</v>
      </c>
      <c r="I2" s="2">
        <v>2482.5</v>
      </c>
      <c r="J2" s="2">
        <v>2498.3000000000002</v>
      </c>
      <c r="K2" s="2">
        <v>2497</v>
      </c>
      <c r="L2" s="2">
        <v>2488.6</v>
      </c>
      <c r="M2" s="2">
        <v>2512.6799999999998</v>
      </c>
      <c r="N2" s="2">
        <v>4190</v>
      </c>
      <c r="O2" s="2">
        <v>1017.45</v>
      </c>
      <c r="P2" s="2">
        <v>1627836</v>
      </c>
      <c r="Q2" s="2">
        <v>151256</v>
      </c>
    </row>
    <row r="3" spans="1:17" x14ac:dyDescent="0.3">
      <c r="A3" s="1">
        <v>45211</v>
      </c>
      <c r="B3" s="1" t="str">
        <f>TEXT(A3,"dddd")</f>
        <v>Thursday</v>
      </c>
      <c r="C3" s="1" t="str">
        <f>TEXT(A3,"mmmm")</f>
        <v>October</v>
      </c>
      <c r="D3" s="1" t="str">
        <f>"Q"&amp;ROUNDUP(MONTH(A3)/3,0)</f>
        <v>Q4</v>
      </c>
      <c r="E3" s="1" t="str">
        <f>TEXT(A3,"yyyy")</f>
        <v>2023</v>
      </c>
      <c r="F3" t="s">
        <v>13</v>
      </c>
      <c r="G3" s="2">
        <v>2499.9</v>
      </c>
      <c r="H3" s="2">
        <v>2521.75</v>
      </c>
      <c r="I3" s="2">
        <v>2490.65</v>
      </c>
      <c r="J3" s="2">
        <v>2488.6</v>
      </c>
      <c r="K3" s="2">
        <v>2505.1</v>
      </c>
      <c r="L3" s="2">
        <v>2506.35</v>
      </c>
      <c r="M3" s="2">
        <v>2506.4899999999998</v>
      </c>
      <c r="N3" s="2">
        <v>4190</v>
      </c>
      <c r="O3" s="2">
        <v>1017.45</v>
      </c>
      <c r="P3" s="2">
        <v>1804818</v>
      </c>
      <c r="Q3" s="2">
        <v>151256</v>
      </c>
    </row>
    <row r="4" spans="1:17" x14ac:dyDescent="0.3">
      <c r="A4" s="1">
        <v>45212</v>
      </c>
      <c r="B4" s="1" t="str">
        <f>TEXT(A4,"dddd")</f>
        <v>Friday</v>
      </c>
      <c r="C4" s="1" t="str">
        <f>TEXT(A4,"mmmm")</f>
        <v>October</v>
      </c>
      <c r="D4" s="1" t="str">
        <f>"Q"&amp;ROUNDUP(MONTH(A4)/3,0)</f>
        <v>Q4</v>
      </c>
      <c r="E4" s="1" t="str">
        <f>TEXT(A4,"yyyy")</f>
        <v>2023</v>
      </c>
      <c r="F4" t="s">
        <v>13</v>
      </c>
      <c r="G4" s="2">
        <v>2488.9</v>
      </c>
      <c r="H4" s="2">
        <v>2495</v>
      </c>
      <c r="I4" s="2">
        <v>2422.35</v>
      </c>
      <c r="J4" s="2">
        <v>2506.35</v>
      </c>
      <c r="K4" s="2">
        <v>2449</v>
      </c>
      <c r="L4" s="2">
        <v>2454.5500000000002</v>
      </c>
      <c r="M4" s="2">
        <v>2446.5100000000002</v>
      </c>
      <c r="N4" s="2">
        <v>4190</v>
      </c>
      <c r="O4" s="2">
        <v>1017.45</v>
      </c>
      <c r="P4" s="2">
        <v>2278682</v>
      </c>
      <c r="Q4" s="2">
        <v>151256</v>
      </c>
    </row>
    <row r="5" spans="1:17" x14ac:dyDescent="0.3">
      <c r="A5" s="1">
        <v>45215</v>
      </c>
      <c r="B5" s="1" t="str">
        <f>TEXT(A5,"dddd")</f>
        <v>Monday</v>
      </c>
      <c r="C5" s="1" t="str">
        <f>TEXT(A5,"mmmm")</f>
        <v>October</v>
      </c>
      <c r="D5" s="1" t="str">
        <f>"Q"&amp;ROUNDUP(MONTH(A5)/3,0)</f>
        <v>Q4</v>
      </c>
      <c r="E5" s="1" t="str">
        <f>TEXT(A5,"yyyy")</f>
        <v>2023</v>
      </c>
      <c r="F5" t="s">
        <v>13</v>
      </c>
      <c r="G5" s="2">
        <v>2454.5500000000002</v>
      </c>
      <c r="H5" s="2">
        <v>2464.6999999999998</v>
      </c>
      <c r="I5" s="2">
        <v>2421.85</v>
      </c>
      <c r="J5" s="2">
        <v>2454.5500000000002</v>
      </c>
      <c r="K5" s="2">
        <v>2430</v>
      </c>
      <c r="L5" s="2">
        <v>2429.35</v>
      </c>
      <c r="M5" s="2">
        <v>2447.48</v>
      </c>
      <c r="N5" s="2">
        <v>4190</v>
      </c>
      <c r="O5" s="2">
        <v>1017.45</v>
      </c>
      <c r="P5" s="2">
        <v>803856</v>
      </c>
      <c r="Q5" s="2">
        <v>151256</v>
      </c>
    </row>
    <row r="6" spans="1:17" x14ac:dyDescent="0.3">
      <c r="A6" s="1">
        <v>45216</v>
      </c>
      <c r="B6" s="1" t="str">
        <f>TEXT(A6,"dddd")</f>
        <v>Tuesday</v>
      </c>
      <c r="C6" s="1" t="str">
        <f>TEXT(A6,"mmmm")</f>
        <v>October</v>
      </c>
      <c r="D6" s="1" t="str">
        <f>"Q"&amp;ROUNDUP(MONTH(A6)/3,0)</f>
        <v>Q4</v>
      </c>
      <c r="E6" s="1" t="str">
        <f>TEXT(A6,"yyyy")</f>
        <v>2023</v>
      </c>
      <c r="F6" t="s">
        <v>13</v>
      </c>
      <c r="G6" s="2">
        <v>2459.9499999999998</v>
      </c>
      <c r="H6" s="2">
        <v>2462</v>
      </c>
      <c r="I6" s="2">
        <v>2423.5</v>
      </c>
      <c r="J6" s="2">
        <v>2429.35</v>
      </c>
      <c r="K6" s="2">
        <v>2429.8000000000002</v>
      </c>
      <c r="L6" s="2">
        <v>2428.4</v>
      </c>
      <c r="M6" s="2">
        <v>2441.19</v>
      </c>
      <c r="N6" s="2">
        <v>4190</v>
      </c>
      <c r="O6" s="2">
        <v>1017.45</v>
      </c>
      <c r="P6" s="2">
        <v>707543</v>
      </c>
      <c r="Q6" s="2">
        <v>151256</v>
      </c>
    </row>
    <row r="7" spans="1:17" x14ac:dyDescent="0.3">
      <c r="A7" s="1">
        <v>45217</v>
      </c>
      <c r="B7" s="1" t="str">
        <f>TEXT(A7,"dddd")</f>
        <v>Wednesday</v>
      </c>
      <c r="C7" s="1" t="str">
        <f>TEXT(A7,"mmmm")</f>
        <v>October</v>
      </c>
      <c r="D7" s="1" t="str">
        <f>"Q"&amp;ROUNDUP(MONTH(A7)/3,0)</f>
        <v>Q4</v>
      </c>
      <c r="E7" s="1" t="str">
        <f>TEXT(A7,"yyyy")</f>
        <v>2023</v>
      </c>
      <c r="F7" t="s">
        <v>13</v>
      </c>
      <c r="G7" s="2">
        <v>2440</v>
      </c>
      <c r="H7" s="2">
        <v>2441.75</v>
      </c>
      <c r="I7" s="2">
        <v>2401.0500000000002</v>
      </c>
      <c r="J7" s="2">
        <v>2428.4</v>
      </c>
      <c r="K7" s="2">
        <v>2410</v>
      </c>
      <c r="L7" s="2">
        <v>2406.35</v>
      </c>
      <c r="M7" s="2">
        <v>2417.1799999999998</v>
      </c>
      <c r="N7" s="2">
        <v>4190</v>
      </c>
      <c r="O7" s="2">
        <v>1017.45</v>
      </c>
      <c r="P7" s="2">
        <v>776977</v>
      </c>
      <c r="Q7" s="2">
        <v>151256</v>
      </c>
    </row>
    <row r="8" spans="1:17" x14ac:dyDescent="0.3">
      <c r="A8" s="1">
        <v>45218</v>
      </c>
      <c r="B8" s="1" t="str">
        <f>TEXT(A8,"dddd")</f>
        <v>Thursday</v>
      </c>
      <c r="C8" s="1" t="str">
        <f>TEXT(A8,"mmmm")</f>
        <v>October</v>
      </c>
      <c r="D8" s="1" t="str">
        <f>"Q"&amp;ROUNDUP(MONTH(A8)/3,0)</f>
        <v>Q4</v>
      </c>
      <c r="E8" s="1" t="str">
        <f>TEXT(A8,"yyyy")</f>
        <v>2023</v>
      </c>
      <c r="F8" t="s">
        <v>13</v>
      </c>
      <c r="G8" s="2">
        <v>2400</v>
      </c>
      <c r="H8" s="2">
        <v>2414.6999999999998</v>
      </c>
      <c r="I8" s="2">
        <v>2382.5500000000002</v>
      </c>
      <c r="J8" s="2">
        <v>2406.35</v>
      </c>
      <c r="K8" s="2">
        <v>2403.5500000000002</v>
      </c>
      <c r="L8" s="2">
        <v>2402.1999999999998</v>
      </c>
      <c r="M8" s="2">
        <v>2399</v>
      </c>
      <c r="N8" s="2">
        <v>4190</v>
      </c>
      <c r="O8" s="2">
        <v>1017.45</v>
      </c>
      <c r="P8" s="2">
        <v>1168822</v>
      </c>
      <c r="Q8" s="2">
        <v>151256</v>
      </c>
    </row>
    <row r="9" spans="1:17" x14ac:dyDescent="0.3">
      <c r="A9" s="1">
        <v>45219</v>
      </c>
      <c r="B9" s="1" t="str">
        <f>TEXT(A9,"dddd")</f>
        <v>Friday</v>
      </c>
      <c r="C9" s="1" t="str">
        <f>TEXT(A9,"mmmm")</f>
        <v>October</v>
      </c>
      <c r="D9" s="1" t="str">
        <f>"Q"&amp;ROUNDUP(MONTH(A9)/3,0)</f>
        <v>Q4</v>
      </c>
      <c r="E9" s="1" t="str">
        <f>TEXT(A9,"yyyy")</f>
        <v>2023</v>
      </c>
      <c r="F9" t="s">
        <v>13</v>
      </c>
      <c r="G9" s="2">
        <v>2398.0500000000002</v>
      </c>
      <c r="H9" s="2">
        <v>2443.9499999999998</v>
      </c>
      <c r="I9" s="2">
        <v>2382.0500000000002</v>
      </c>
      <c r="J9" s="2">
        <v>2402.1999999999998</v>
      </c>
      <c r="K9" s="2">
        <v>2395</v>
      </c>
      <c r="L9" s="2">
        <v>2393.75</v>
      </c>
      <c r="M9" s="2">
        <v>2403.46</v>
      </c>
      <c r="N9" s="2">
        <v>4190</v>
      </c>
      <c r="O9" s="2">
        <v>1017.45</v>
      </c>
      <c r="P9" s="2">
        <v>1240350</v>
      </c>
      <c r="Q9" s="2">
        <v>151256</v>
      </c>
    </row>
    <row r="10" spans="1:17" x14ac:dyDescent="0.3">
      <c r="A10" s="1">
        <v>45222</v>
      </c>
      <c r="B10" s="1" t="str">
        <f>TEXT(A10,"dddd")</f>
        <v>Monday</v>
      </c>
      <c r="C10" s="1" t="str">
        <f>TEXT(A10,"mmmm")</f>
        <v>October</v>
      </c>
      <c r="D10" s="1" t="str">
        <f>"Q"&amp;ROUNDUP(MONTH(A10)/3,0)</f>
        <v>Q4</v>
      </c>
      <c r="E10" s="1" t="str">
        <f>TEXT(A10,"yyyy")</f>
        <v>2023</v>
      </c>
      <c r="F10" t="s">
        <v>13</v>
      </c>
      <c r="G10" s="2">
        <v>2397.8000000000002</v>
      </c>
      <c r="H10" s="2">
        <v>2412.35</v>
      </c>
      <c r="I10" s="2">
        <v>2301.8000000000002</v>
      </c>
      <c r="J10" s="2">
        <v>2393.75</v>
      </c>
      <c r="K10" s="2">
        <v>2304.9499999999998</v>
      </c>
      <c r="L10" s="2">
        <v>2308.65</v>
      </c>
      <c r="M10" s="2">
        <v>2339.84</v>
      </c>
      <c r="N10" s="2">
        <v>4190</v>
      </c>
      <c r="O10" s="2">
        <v>1017.45</v>
      </c>
      <c r="P10" s="2">
        <v>1483549</v>
      </c>
      <c r="Q10" s="2">
        <v>151256</v>
      </c>
    </row>
    <row r="11" spans="1:17" x14ac:dyDescent="0.3">
      <c r="A11" s="1">
        <v>45224</v>
      </c>
      <c r="B11" s="1" t="str">
        <f>TEXT(A11,"dddd")</f>
        <v>Wednesday</v>
      </c>
      <c r="C11" s="1" t="str">
        <f>TEXT(A11,"mmmm")</f>
        <v>October</v>
      </c>
      <c r="D11" s="1" t="str">
        <f>"Q"&amp;ROUNDUP(MONTH(A11)/3,0)</f>
        <v>Q4</v>
      </c>
      <c r="E11" s="1" t="str">
        <f>TEXT(A11,"yyyy")</f>
        <v>2023</v>
      </c>
      <c r="F11" t="s">
        <v>13</v>
      </c>
      <c r="G11" s="2">
        <v>2320</v>
      </c>
      <c r="H11" s="2">
        <v>2348.0500000000002</v>
      </c>
      <c r="I11" s="2">
        <v>2235.3000000000002</v>
      </c>
      <c r="J11" s="2">
        <v>2308.65</v>
      </c>
      <c r="K11" s="2">
        <v>2261</v>
      </c>
      <c r="L11" s="2">
        <v>2257</v>
      </c>
      <c r="M11" s="2">
        <v>2287.3200000000002</v>
      </c>
      <c r="N11" s="2">
        <v>4190</v>
      </c>
      <c r="O11" s="2">
        <v>1017.45</v>
      </c>
      <c r="P11" s="2">
        <v>1540819</v>
      </c>
      <c r="Q11" s="2">
        <v>151256</v>
      </c>
    </row>
    <row r="12" spans="1:17" x14ac:dyDescent="0.3">
      <c r="A12" s="1">
        <v>45225</v>
      </c>
      <c r="B12" s="1" t="str">
        <f>TEXT(A12,"dddd")</f>
        <v>Thursday</v>
      </c>
      <c r="C12" s="1" t="str">
        <f>TEXT(A12,"mmmm")</f>
        <v>October</v>
      </c>
      <c r="D12" s="1" t="str">
        <f>"Q"&amp;ROUNDUP(MONTH(A12)/3,0)</f>
        <v>Q4</v>
      </c>
      <c r="E12" s="1" t="str">
        <f>TEXT(A12,"yyyy")</f>
        <v>2023</v>
      </c>
      <c r="F12" t="s">
        <v>13</v>
      </c>
      <c r="G12" s="2">
        <v>2249</v>
      </c>
      <c r="H12" s="2">
        <v>2249</v>
      </c>
      <c r="I12" s="2">
        <v>2167.0500000000002</v>
      </c>
      <c r="J12" s="2">
        <v>2257</v>
      </c>
      <c r="K12" s="2">
        <v>2208</v>
      </c>
      <c r="L12" s="2">
        <v>2203.1999999999998</v>
      </c>
      <c r="M12" s="2">
        <v>2202.63</v>
      </c>
      <c r="N12" s="2">
        <v>4190</v>
      </c>
      <c r="O12" s="2">
        <v>1017.45</v>
      </c>
      <c r="P12" s="2">
        <v>2226073</v>
      </c>
      <c r="Q12" s="2">
        <v>151256</v>
      </c>
    </row>
    <row r="13" spans="1:17" x14ac:dyDescent="0.3">
      <c r="A13" s="1">
        <v>45226</v>
      </c>
      <c r="B13" s="1" t="str">
        <f>TEXT(A13,"dddd")</f>
        <v>Friday</v>
      </c>
      <c r="C13" s="1" t="str">
        <f>TEXT(A13,"mmmm")</f>
        <v>October</v>
      </c>
      <c r="D13" s="1" t="str">
        <f>"Q"&amp;ROUNDUP(MONTH(A13)/3,0)</f>
        <v>Q4</v>
      </c>
      <c r="E13" s="1" t="str">
        <f>TEXT(A13,"yyyy")</f>
        <v>2023</v>
      </c>
      <c r="F13" t="s">
        <v>13</v>
      </c>
      <c r="G13" s="2">
        <v>2222</v>
      </c>
      <c r="H13" s="2">
        <v>2275</v>
      </c>
      <c r="I13" s="2">
        <v>2212</v>
      </c>
      <c r="J13" s="2">
        <v>2203.1999999999998</v>
      </c>
      <c r="K13" s="2">
        <v>2259.8000000000002</v>
      </c>
      <c r="L13" s="2">
        <v>2261.6999999999998</v>
      </c>
      <c r="M13" s="2">
        <v>2246.4899999999998</v>
      </c>
      <c r="N13" s="2">
        <v>4190</v>
      </c>
      <c r="O13" s="2">
        <v>1017.45</v>
      </c>
      <c r="P13" s="2">
        <v>1244293</v>
      </c>
      <c r="Q13" s="2">
        <v>151256</v>
      </c>
    </row>
    <row r="14" spans="1:17" x14ac:dyDescent="0.3">
      <c r="A14" s="1">
        <v>45229</v>
      </c>
      <c r="B14" s="1" t="str">
        <f>TEXT(A14,"dddd")</f>
        <v>Monday</v>
      </c>
      <c r="C14" s="1" t="str">
        <f>TEXT(A14,"mmmm")</f>
        <v>October</v>
      </c>
      <c r="D14" s="1" t="str">
        <f>"Q"&amp;ROUNDUP(MONTH(A14)/3,0)</f>
        <v>Q4</v>
      </c>
      <c r="E14" s="1" t="str">
        <f>TEXT(A14,"yyyy")</f>
        <v>2023</v>
      </c>
      <c r="F14" t="s">
        <v>13</v>
      </c>
      <c r="G14" s="2">
        <v>2260.0500000000002</v>
      </c>
      <c r="H14" s="2">
        <v>2305</v>
      </c>
      <c r="I14" s="2">
        <v>2250</v>
      </c>
      <c r="J14" s="2">
        <v>2261.6999999999998</v>
      </c>
      <c r="K14" s="2">
        <v>2294.5500000000002</v>
      </c>
      <c r="L14" s="2">
        <v>2299.1</v>
      </c>
      <c r="M14" s="2">
        <v>2286.4299999999998</v>
      </c>
      <c r="N14" s="2">
        <v>4190</v>
      </c>
      <c r="O14" s="2">
        <v>1017.45</v>
      </c>
      <c r="P14" s="2">
        <v>996448</v>
      </c>
      <c r="Q14" s="2">
        <v>151256</v>
      </c>
    </row>
    <row r="15" spans="1:17" x14ac:dyDescent="0.3">
      <c r="A15" s="1">
        <v>45230</v>
      </c>
      <c r="B15" s="1" t="str">
        <f>TEXT(A15,"dddd")</f>
        <v>Tuesday</v>
      </c>
      <c r="C15" s="1" t="str">
        <f>TEXT(A15,"mmmm")</f>
        <v>October</v>
      </c>
      <c r="D15" s="1" t="str">
        <f>"Q"&amp;ROUNDUP(MONTH(A15)/3,0)</f>
        <v>Q4</v>
      </c>
      <c r="E15" s="1" t="str">
        <f>TEXT(A15,"yyyy")</f>
        <v>2023</v>
      </c>
      <c r="F15" t="s">
        <v>13</v>
      </c>
      <c r="G15" s="2">
        <v>2320</v>
      </c>
      <c r="H15" s="2">
        <v>2320</v>
      </c>
      <c r="I15" s="2">
        <v>2276</v>
      </c>
      <c r="J15" s="2">
        <v>2299.1</v>
      </c>
      <c r="K15" s="2">
        <v>2297</v>
      </c>
      <c r="L15" s="2">
        <v>2294.65</v>
      </c>
      <c r="M15" s="2">
        <v>2294.7600000000002</v>
      </c>
      <c r="N15" s="2">
        <v>4190</v>
      </c>
      <c r="O15" s="2">
        <v>1017.45</v>
      </c>
      <c r="P15" s="2">
        <v>1155280</v>
      </c>
      <c r="Q15" s="2">
        <v>151256</v>
      </c>
    </row>
    <row r="16" spans="1:17" x14ac:dyDescent="0.3">
      <c r="A16" s="1">
        <v>45231</v>
      </c>
      <c r="B16" s="1" t="str">
        <f>TEXT(A16,"dddd")</f>
        <v>Wednesday</v>
      </c>
      <c r="C16" s="1" t="str">
        <f>TEXT(A16,"mmmm")</f>
        <v>November</v>
      </c>
      <c r="D16" s="1" t="str">
        <f>"Q"&amp;ROUNDUP(MONTH(A16)/3,0)</f>
        <v>Q4</v>
      </c>
      <c r="E16" s="1" t="str">
        <f>TEXT(A16,"yyyy")</f>
        <v>2023</v>
      </c>
      <c r="F16" t="s">
        <v>13</v>
      </c>
      <c r="G16" s="2">
        <v>2299</v>
      </c>
      <c r="H16" s="2">
        <v>2312.25</v>
      </c>
      <c r="I16" s="2">
        <v>2207</v>
      </c>
      <c r="J16" s="2">
        <v>2294.65</v>
      </c>
      <c r="K16" s="2">
        <v>2215.9</v>
      </c>
      <c r="L16" s="2">
        <v>2217.3000000000002</v>
      </c>
      <c r="M16" s="2">
        <v>2253.36</v>
      </c>
      <c r="N16" s="2">
        <v>4190</v>
      </c>
      <c r="O16" s="2">
        <v>1017.45</v>
      </c>
      <c r="P16" s="2">
        <v>1666579</v>
      </c>
      <c r="Q16" s="2">
        <v>151256</v>
      </c>
    </row>
    <row r="17" spans="1:17" x14ac:dyDescent="0.3">
      <c r="A17" s="1">
        <v>45232</v>
      </c>
      <c r="B17" s="1" t="str">
        <f>TEXT(A17,"dddd")</f>
        <v>Thursday</v>
      </c>
      <c r="C17" s="1" t="str">
        <f>TEXT(A17,"mmmm")</f>
        <v>November</v>
      </c>
      <c r="D17" s="1" t="str">
        <f>"Q"&amp;ROUNDUP(MONTH(A17)/3,0)</f>
        <v>Q4</v>
      </c>
      <c r="E17" s="1" t="str">
        <f>TEXT(A17,"yyyy")</f>
        <v>2023</v>
      </c>
      <c r="F17" t="s">
        <v>13</v>
      </c>
      <c r="G17" s="2">
        <v>2247</v>
      </c>
      <c r="H17" s="2">
        <v>2297.9499999999998</v>
      </c>
      <c r="I17" s="2">
        <v>2204.1999999999998</v>
      </c>
      <c r="J17" s="2">
        <v>2217.3000000000002</v>
      </c>
      <c r="K17" s="2">
        <v>2214</v>
      </c>
      <c r="L17" s="2">
        <v>2215.3000000000002</v>
      </c>
      <c r="M17" s="2">
        <v>2247.0700000000002</v>
      </c>
      <c r="N17" s="2">
        <v>4190</v>
      </c>
      <c r="O17" s="2">
        <v>1017.45</v>
      </c>
      <c r="P17" s="2">
        <v>2340997</v>
      </c>
      <c r="Q17" s="2">
        <v>151256</v>
      </c>
    </row>
    <row r="18" spans="1:17" x14ac:dyDescent="0.3">
      <c r="A18" s="1">
        <v>45233</v>
      </c>
      <c r="B18" s="1" t="str">
        <f>TEXT(A18,"dddd")</f>
        <v>Friday</v>
      </c>
      <c r="C18" s="1" t="str">
        <f>TEXT(A18,"mmmm")</f>
        <v>November</v>
      </c>
      <c r="D18" s="1" t="str">
        <f>"Q"&amp;ROUNDUP(MONTH(A18)/3,0)</f>
        <v>Q4</v>
      </c>
      <c r="E18" s="1" t="str">
        <f>TEXT(A18,"yyyy")</f>
        <v>2023</v>
      </c>
      <c r="F18" t="s">
        <v>13</v>
      </c>
      <c r="G18" s="2">
        <v>2215.3000000000002</v>
      </c>
      <c r="H18" s="2">
        <v>2279</v>
      </c>
      <c r="I18" s="2">
        <v>2215</v>
      </c>
      <c r="J18" s="2">
        <v>2215.3000000000002</v>
      </c>
      <c r="K18" s="2">
        <v>2229.25</v>
      </c>
      <c r="L18" s="2">
        <v>2229.85</v>
      </c>
      <c r="M18" s="2">
        <v>2244.27</v>
      </c>
      <c r="N18" s="2">
        <v>4190</v>
      </c>
      <c r="O18" s="2">
        <v>1017.45</v>
      </c>
      <c r="P18" s="2">
        <v>1853300</v>
      </c>
      <c r="Q18" s="2">
        <v>151256</v>
      </c>
    </row>
    <row r="19" spans="1:17" x14ac:dyDescent="0.3">
      <c r="A19" s="1">
        <v>45236</v>
      </c>
      <c r="B19" s="1" t="str">
        <f>TEXT(A19,"dddd")</f>
        <v>Monday</v>
      </c>
      <c r="C19" s="1" t="str">
        <f>TEXT(A19,"mmmm")</f>
        <v>November</v>
      </c>
      <c r="D19" s="1" t="str">
        <f>"Q"&amp;ROUNDUP(MONTH(A19)/3,0)</f>
        <v>Q4</v>
      </c>
      <c r="E19" s="1" t="str">
        <f>TEXT(A19,"yyyy")</f>
        <v>2023</v>
      </c>
      <c r="F19" t="s">
        <v>13</v>
      </c>
      <c r="G19" s="2">
        <v>2253.9499999999998</v>
      </c>
      <c r="H19" s="2">
        <v>2260</v>
      </c>
      <c r="I19" s="2">
        <v>2233</v>
      </c>
      <c r="J19" s="2">
        <v>2229.85</v>
      </c>
      <c r="K19" s="2">
        <v>2245.1</v>
      </c>
      <c r="L19" s="2">
        <v>2246</v>
      </c>
      <c r="M19" s="2">
        <v>2244.88</v>
      </c>
      <c r="N19" s="2">
        <v>4190</v>
      </c>
      <c r="O19" s="2">
        <v>1017.45</v>
      </c>
      <c r="P19" s="2">
        <v>770061</v>
      </c>
      <c r="Q19" s="2">
        <v>151256</v>
      </c>
    </row>
    <row r="20" spans="1:17" x14ac:dyDescent="0.3">
      <c r="A20" s="1">
        <v>45237</v>
      </c>
      <c r="B20" s="1" t="str">
        <f>TEXT(A20,"dddd")</f>
        <v>Tuesday</v>
      </c>
      <c r="C20" s="1" t="str">
        <f>TEXT(A20,"mmmm")</f>
        <v>November</v>
      </c>
      <c r="D20" s="1" t="str">
        <f>"Q"&amp;ROUNDUP(MONTH(A20)/3,0)</f>
        <v>Q4</v>
      </c>
      <c r="E20" s="1" t="str">
        <f>TEXT(A20,"yyyy")</f>
        <v>2023</v>
      </c>
      <c r="F20" t="s">
        <v>13</v>
      </c>
      <c r="G20" s="2">
        <v>2257</v>
      </c>
      <c r="H20" s="2">
        <v>2260</v>
      </c>
      <c r="I20" s="2">
        <v>2226.65</v>
      </c>
      <c r="J20" s="2">
        <v>2246</v>
      </c>
      <c r="K20" s="2">
        <v>2235.4499999999998</v>
      </c>
      <c r="L20" s="2">
        <v>2233.35</v>
      </c>
      <c r="M20" s="2">
        <v>2240.69</v>
      </c>
      <c r="N20" s="2">
        <v>4190</v>
      </c>
      <c r="O20" s="2">
        <v>1017.45</v>
      </c>
      <c r="P20" s="2">
        <v>641554</v>
      </c>
      <c r="Q20" s="2">
        <v>151256</v>
      </c>
    </row>
    <row r="21" spans="1:17" x14ac:dyDescent="0.3">
      <c r="A21" s="1">
        <v>45238</v>
      </c>
      <c r="B21" s="1" t="str">
        <f>TEXT(A21,"dddd")</f>
        <v>Wednesday</v>
      </c>
      <c r="C21" s="1" t="str">
        <f>TEXT(A21,"mmmm")</f>
        <v>November</v>
      </c>
      <c r="D21" s="1" t="str">
        <f>"Q"&amp;ROUNDUP(MONTH(A21)/3,0)</f>
        <v>Q4</v>
      </c>
      <c r="E21" s="1" t="str">
        <f>TEXT(A21,"yyyy")</f>
        <v>2023</v>
      </c>
      <c r="F21" t="s">
        <v>13</v>
      </c>
      <c r="G21" s="2">
        <v>2245.3000000000002</v>
      </c>
      <c r="H21" s="2">
        <v>2298</v>
      </c>
      <c r="I21" s="2">
        <v>2235</v>
      </c>
      <c r="J21" s="2">
        <v>2233.35</v>
      </c>
      <c r="K21" s="2">
        <v>2259</v>
      </c>
      <c r="L21" s="2">
        <v>2259.9499999999998</v>
      </c>
      <c r="M21" s="2">
        <v>2263.84</v>
      </c>
      <c r="N21" s="2">
        <v>4190</v>
      </c>
      <c r="O21" s="2">
        <v>1017.45</v>
      </c>
      <c r="P21" s="2">
        <v>1169180</v>
      </c>
      <c r="Q21" s="2">
        <v>151256</v>
      </c>
    </row>
    <row r="22" spans="1:17" x14ac:dyDescent="0.3">
      <c r="A22" s="1">
        <v>45239</v>
      </c>
      <c r="B22" s="1" t="str">
        <f>TEXT(A22,"dddd")</f>
        <v>Thursday</v>
      </c>
      <c r="C22" s="1" t="str">
        <f>TEXT(A22,"mmmm")</f>
        <v>November</v>
      </c>
      <c r="D22" s="1" t="str">
        <f>"Q"&amp;ROUNDUP(MONTH(A22)/3,0)</f>
        <v>Q4</v>
      </c>
      <c r="E22" s="1" t="str">
        <f>TEXT(A22,"yyyy")</f>
        <v>2023</v>
      </c>
      <c r="F22" t="s">
        <v>13</v>
      </c>
      <c r="G22" s="2">
        <v>2269</v>
      </c>
      <c r="H22" s="2">
        <v>2272.6</v>
      </c>
      <c r="I22" s="2">
        <v>2210.1</v>
      </c>
      <c r="J22" s="2">
        <v>2259.9499999999998</v>
      </c>
      <c r="K22" s="2">
        <v>2219.9499999999998</v>
      </c>
      <c r="L22" s="2">
        <v>2214.65</v>
      </c>
      <c r="M22" s="2">
        <v>2231.38</v>
      </c>
      <c r="N22" s="2">
        <v>4190</v>
      </c>
      <c r="O22" s="2">
        <v>1017.45</v>
      </c>
      <c r="P22" s="2">
        <v>1267890</v>
      </c>
      <c r="Q22" s="2">
        <v>151256</v>
      </c>
    </row>
    <row r="23" spans="1:17" x14ac:dyDescent="0.3">
      <c r="A23" s="1">
        <v>45240</v>
      </c>
      <c r="B23" s="1" t="str">
        <f>TEXT(A23,"dddd")</f>
        <v>Friday</v>
      </c>
      <c r="C23" s="1" t="str">
        <f>TEXT(A23,"mmmm")</f>
        <v>November</v>
      </c>
      <c r="D23" s="1" t="str">
        <f>"Q"&amp;ROUNDUP(MONTH(A23)/3,0)</f>
        <v>Q4</v>
      </c>
      <c r="E23" s="1" t="str">
        <f>TEXT(A23,"yyyy")</f>
        <v>2023</v>
      </c>
      <c r="F23" t="s">
        <v>13</v>
      </c>
      <c r="G23" s="2">
        <v>2220.25</v>
      </c>
      <c r="H23" s="2">
        <v>2237</v>
      </c>
      <c r="I23" s="2">
        <v>2198.5</v>
      </c>
      <c r="J23" s="2">
        <v>2214.65</v>
      </c>
      <c r="K23" s="2">
        <v>2209</v>
      </c>
      <c r="L23" s="2">
        <v>2205.1</v>
      </c>
      <c r="M23" s="2">
        <v>2214.5500000000002</v>
      </c>
      <c r="N23" s="2">
        <v>4190</v>
      </c>
      <c r="O23" s="2">
        <v>1017.45</v>
      </c>
      <c r="P23" s="2">
        <v>1072597</v>
      </c>
      <c r="Q23" s="2">
        <v>151256</v>
      </c>
    </row>
    <row r="24" spans="1:17" x14ac:dyDescent="0.3">
      <c r="A24" s="1">
        <v>45242</v>
      </c>
      <c r="B24" s="1" t="str">
        <f>TEXT(A24,"dddd")</f>
        <v>Sunday</v>
      </c>
      <c r="C24" s="1" t="str">
        <f>TEXT(A24,"mmmm")</f>
        <v>November</v>
      </c>
      <c r="D24" s="1" t="str">
        <f>"Q"&amp;ROUNDUP(MONTH(A24)/3,0)</f>
        <v>Q4</v>
      </c>
      <c r="E24" s="1" t="str">
        <f>TEXT(A24,"yyyy")</f>
        <v>2023</v>
      </c>
      <c r="F24" t="s">
        <v>13</v>
      </c>
      <c r="G24" s="2">
        <v>2219.6999999999998</v>
      </c>
      <c r="H24" s="2">
        <v>2226</v>
      </c>
      <c r="I24" s="2">
        <v>2205.1</v>
      </c>
      <c r="J24" s="2">
        <v>2205.1</v>
      </c>
      <c r="K24" s="2">
        <v>2207.5</v>
      </c>
      <c r="L24" s="2">
        <v>2211.35</v>
      </c>
      <c r="M24" s="2">
        <v>2215.9</v>
      </c>
      <c r="N24" s="2">
        <v>4190</v>
      </c>
      <c r="O24" s="2">
        <v>1017.45</v>
      </c>
      <c r="P24" s="2">
        <v>148320</v>
      </c>
      <c r="Q24" s="2">
        <v>151256</v>
      </c>
    </row>
    <row r="25" spans="1:17" x14ac:dyDescent="0.3">
      <c r="A25" s="1">
        <v>45243</v>
      </c>
      <c r="B25" s="1" t="str">
        <f>TEXT(A25,"dddd")</f>
        <v>Monday</v>
      </c>
      <c r="C25" s="1" t="str">
        <f>TEXT(A25,"mmmm")</f>
        <v>November</v>
      </c>
      <c r="D25" s="1" t="str">
        <f>"Q"&amp;ROUNDUP(MONTH(A25)/3,0)</f>
        <v>Q4</v>
      </c>
      <c r="E25" s="1" t="str">
        <f>TEXT(A25,"yyyy")</f>
        <v>2023</v>
      </c>
      <c r="F25" t="s">
        <v>13</v>
      </c>
      <c r="G25" s="2">
        <v>2215.5</v>
      </c>
      <c r="H25" s="2">
        <v>2241.9</v>
      </c>
      <c r="I25" s="2">
        <v>2195.5500000000002</v>
      </c>
      <c r="J25" s="2">
        <v>2211.35</v>
      </c>
      <c r="K25" s="2">
        <v>2218</v>
      </c>
      <c r="L25" s="2">
        <v>2213.65</v>
      </c>
      <c r="M25" s="2">
        <v>2212.7600000000002</v>
      </c>
      <c r="N25" s="2">
        <v>4190</v>
      </c>
      <c r="O25" s="2">
        <v>1017.45</v>
      </c>
      <c r="P25" s="2">
        <v>853633</v>
      </c>
      <c r="Q25" s="2">
        <v>151256</v>
      </c>
    </row>
    <row r="26" spans="1:17" x14ac:dyDescent="0.3">
      <c r="A26" s="1">
        <v>45245</v>
      </c>
      <c r="B26" s="1" t="str">
        <f>TEXT(A26,"dddd")</f>
        <v>Wednesday</v>
      </c>
      <c r="C26" s="1" t="str">
        <f>TEXT(A26,"mmmm")</f>
        <v>November</v>
      </c>
      <c r="D26" s="1" t="str">
        <f>"Q"&amp;ROUNDUP(MONTH(A26)/3,0)</f>
        <v>Q4</v>
      </c>
      <c r="E26" s="1" t="str">
        <f>TEXT(A26,"yyyy")</f>
        <v>2023</v>
      </c>
      <c r="F26" t="s">
        <v>13</v>
      </c>
      <c r="G26" s="2">
        <v>2240</v>
      </c>
      <c r="H26" s="2">
        <v>2250</v>
      </c>
      <c r="I26" s="2">
        <v>2220.5</v>
      </c>
      <c r="J26" s="2">
        <v>2213.65</v>
      </c>
      <c r="K26" s="2">
        <v>2223.9499999999998</v>
      </c>
      <c r="L26" s="2">
        <v>2225.4</v>
      </c>
      <c r="M26" s="2">
        <v>2228.39</v>
      </c>
      <c r="N26" s="2">
        <v>4190</v>
      </c>
      <c r="O26" s="2">
        <v>1017.45</v>
      </c>
      <c r="P26" s="2">
        <v>696475</v>
      </c>
      <c r="Q26" s="2">
        <v>151256</v>
      </c>
    </row>
    <row r="27" spans="1:17" x14ac:dyDescent="0.3">
      <c r="A27" s="1">
        <v>45246</v>
      </c>
      <c r="B27" s="1" t="str">
        <f>TEXT(A27,"dddd")</f>
        <v>Thursday</v>
      </c>
      <c r="C27" s="1" t="str">
        <f>TEXT(A27,"mmmm")</f>
        <v>November</v>
      </c>
      <c r="D27" s="1" t="str">
        <f>"Q"&amp;ROUNDUP(MONTH(A27)/3,0)</f>
        <v>Q4</v>
      </c>
      <c r="E27" s="1" t="str">
        <f>TEXT(A27,"yyyy")</f>
        <v>2023</v>
      </c>
      <c r="F27" t="s">
        <v>13</v>
      </c>
      <c r="G27" s="2">
        <v>2226</v>
      </c>
      <c r="H27" s="2">
        <v>2232.8000000000002</v>
      </c>
      <c r="I27" s="2">
        <v>2196.1</v>
      </c>
      <c r="J27" s="2">
        <v>2225.4</v>
      </c>
      <c r="K27" s="2">
        <v>2203</v>
      </c>
      <c r="L27" s="2">
        <v>2205.9</v>
      </c>
      <c r="M27" s="2">
        <v>2211.42</v>
      </c>
      <c r="N27" s="2">
        <v>4190</v>
      </c>
      <c r="O27" s="2">
        <v>1017.45</v>
      </c>
      <c r="P27" s="2">
        <v>1307584</v>
      </c>
      <c r="Q27" s="2">
        <v>151256</v>
      </c>
    </row>
    <row r="28" spans="1:17" x14ac:dyDescent="0.3">
      <c r="A28" s="1">
        <v>45247</v>
      </c>
      <c r="B28" s="1" t="str">
        <f>TEXT(A28,"dddd")</f>
        <v>Friday</v>
      </c>
      <c r="C28" s="1" t="str">
        <f>TEXT(A28,"mmmm")</f>
        <v>November</v>
      </c>
      <c r="D28" s="1" t="str">
        <f>"Q"&amp;ROUNDUP(MONTH(A28)/3,0)</f>
        <v>Q4</v>
      </c>
      <c r="E28" s="1" t="str">
        <f>TEXT(A28,"yyyy")</f>
        <v>2023</v>
      </c>
      <c r="F28" t="s">
        <v>13</v>
      </c>
      <c r="G28" s="2">
        <v>2205.9</v>
      </c>
      <c r="H28" s="2">
        <v>2237.9499999999998</v>
      </c>
      <c r="I28" s="2">
        <v>2201</v>
      </c>
      <c r="J28" s="2">
        <v>2205.9</v>
      </c>
      <c r="K28" s="2">
        <v>2209</v>
      </c>
      <c r="L28" s="2">
        <v>2208.8000000000002</v>
      </c>
      <c r="M28" s="2">
        <v>2216.3200000000002</v>
      </c>
      <c r="N28" s="2">
        <v>4190</v>
      </c>
      <c r="O28" s="2">
        <v>1017.45</v>
      </c>
      <c r="P28" s="2">
        <v>916518</v>
      </c>
      <c r="Q28" s="2">
        <v>151256</v>
      </c>
    </row>
    <row r="29" spans="1:17" x14ac:dyDescent="0.3">
      <c r="A29" s="1">
        <v>45250</v>
      </c>
      <c r="B29" s="1" t="str">
        <f>TEXT(A29,"dddd")</f>
        <v>Monday</v>
      </c>
      <c r="C29" s="1" t="str">
        <f>TEXT(A29,"mmmm")</f>
        <v>November</v>
      </c>
      <c r="D29" s="1" t="str">
        <f>"Q"&amp;ROUNDUP(MONTH(A29)/3,0)</f>
        <v>Q4</v>
      </c>
      <c r="E29" s="1" t="str">
        <f>TEXT(A29,"yyyy")</f>
        <v>2023</v>
      </c>
      <c r="F29" t="s">
        <v>13</v>
      </c>
      <c r="G29" s="2">
        <v>2211</v>
      </c>
      <c r="H29" s="2">
        <v>2218.5</v>
      </c>
      <c r="I29" s="2">
        <v>2142</v>
      </c>
      <c r="J29" s="2">
        <v>2208.8000000000002</v>
      </c>
      <c r="K29" s="2">
        <v>2151</v>
      </c>
      <c r="L29" s="2">
        <v>2149.85</v>
      </c>
      <c r="M29" s="2">
        <v>2173.6999999999998</v>
      </c>
      <c r="N29" s="2">
        <v>4190</v>
      </c>
      <c r="O29" s="2">
        <v>1017.45</v>
      </c>
      <c r="P29" s="2">
        <v>1577213</v>
      </c>
      <c r="Q29" s="2">
        <v>151256</v>
      </c>
    </row>
    <row r="30" spans="1:17" x14ac:dyDescent="0.3">
      <c r="A30" s="1">
        <v>45251</v>
      </c>
      <c r="B30" s="1" t="str">
        <f>TEXT(A30,"dddd")</f>
        <v>Tuesday</v>
      </c>
      <c r="C30" s="1" t="str">
        <f>TEXT(A30,"mmmm")</f>
        <v>November</v>
      </c>
      <c r="D30" s="1" t="str">
        <f>"Q"&amp;ROUNDUP(MONTH(A30)/3,0)</f>
        <v>Q4</v>
      </c>
      <c r="E30" s="1" t="str">
        <f>TEXT(A30,"yyyy")</f>
        <v>2023</v>
      </c>
      <c r="F30" t="s">
        <v>13</v>
      </c>
      <c r="G30" s="2">
        <v>2160</v>
      </c>
      <c r="H30" s="2">
        <v>2232.5500000000002</v>
      </c>
      <c r="I30" s="2">
        <v>2158.35</v>
      </c>
      <c r="J30" s="2">
        <v>2149.85</v>
      </c>
      <c r="K30" s="2">
        <v>2197.6</v>
      </c>
      <c r="L30" s="2">
        <v>2196.65</v>
      </c>
      <c r="M30" s="2">
        <v>2207.0700000000002</v>
      </c>
      <c r="N30" s="2">
        <v>4190</v>
      </c>
      <c r="O30" s="2">
        <v>1017.45</v>
      </c>
      <c r="P30" s="2">
        <v>1839502</v>
      </c>
      <c r="Q30" s="2">
        <v>151256</v>
      </c>
    </row>
    <row r="31" spans="1:17" x14ac:dyDescent="0.3">
      <c r="A31" s="1">
        <v>45252</v>
      </c>
      <c r="B31" s="1" t="str">
        <f>TEXT(A31,"dddd")</f>
        <v>Wednesday</v>
      </c>
      <c r="C31" s="1" t="str">
        <f>TEXT(A31,"mmmm")</f>
        <v>November</v>
      </c>
      <c r="D31" s="1" t="str">
        <f>"Q"&amp;ROUNDUP(MONTH(A31)/3,0)</f>
        <v>Q4</v>
      </c>
      <c r="E31" s="1" t="str">
        <f>TEXT(A31,"yyyy")</f>
        <v>2023</v>
      </c>
      <c r="F31" t="s">
        <v>13</v>
      </c>
      <c r="G31" s="2">
        <v>2205.15</v>
      </c>
      <c r="H31" s="2">
        <v>2225</v>
      </c>
      <c r="I31" s="2">
        <v>2153.5</v>
      </c>
      <c r="J31" s="2">
        <v>2196.65</v>
      </c>
      <c r="K31" s="2">
        <v>2175</v>
      </c>
      <c r="L31" s="2">
        <v>2172.65</v>
      </c>
      <c r="M31" s="2">
        <v>2175.4499999999998</v>
      </c>
      <c r="N31" s="2">
        <v>4190</v>
      </c>
      <c r="O31" s="2">
        <v>1017.45</v>
      </c>
      <c r="P31" s="2">
        <v>1247205</v>
      </c>
      <c r="Q31" s="2">
        <v>151256</v>
      </c>
    </row>
    <row r="32" spans="1:17" x14ac:dyDescent="0.3">
      <c r="A32" s="1">
        <v>45253</v>
      </c>
      <c r="B32" s="1" t="str">
        <f>TEXT(A32,"dddd")</f>
        <v>Thursday</v>
      </c>
      <c r="C32" s="1" t="str">
        <f>TEXT(A32,"mmmm")</f>
        <v>November</v>
      </c>
      <c r="D32" s="1" t="str">
        <f>"Q"&amp;ROUNDUP(MONTH(A32)/3,0)</f>
        <v>Q4</v>
      </c>
      <c r="E32" s="1" t="str">
        <f>TEXT(A32,"yyyy")</f>
        <v>2023</v>
      </c>
      <c r="F32" t="s">
        <v>13</v>
      </c>
      <c r="G32" s="2">
        <v>2190</v>
      </c>
      <c r="H32" s="2">
        <v>2190</v>
      </c>
      <c r="I32" s="2">
        <v>2160.6</v>
      </c>
      <c r="J32" s="2">
        <v>2172.65</v>
      </c>
      <c r="K32" s="2">
        <v>2179</v>
      </c>
      <c r="L32" s="2">
        <v>2175.25</v>
      </c>
      <c r="M32" s="2">
        <v>2176.85</v>
      </c>
      <c r="N32" s="2">
        <v>4190</v>
      </c>
      <c r="O32" s="2">
        <v>1017.45</v>
      </c>
      <c r="P32" s="2">
        <v>729114</v>
      </c>
      <c r="Q32" s="2">
        <v>151256</v>
      </c>
    </row>
    <row r="33" spans="1:17" x14ac:dyDescent="0.3">
      <c r="A33" s="1">
        <v>45254</v>
      </c>
      <c r="B33" s="1" t="str">
        <f>TEXT(A33,"dddd")</f>
        <v>Friday</v>
      </c>
      <c r="C33" s="1" t="str">
        <f>TEXT(A33,"mmmm")</f>
        <v>November</v>
      </c>
      <c r="D33" s="1" t="str">
        <f>"Q"&amp;ROUNDUP(MONTH(A33)/3,0)</f>
        <v>Q4</v>
      </c>
      <c r="E33" s="1" t="str">
        <f>TEXT(A33,"yyyy")</f>
        <v>2023</v>
      </c>
      <c r="F33" t="s">
        <v>13</v>
      </c>
      <c r="G33" s="2">
        <v>2179</v>
      </c>
      <c r="H33" s="2">
        <v>2251.9499999999998</v>
      </c>
      <c r="I33" s="2">
        <v>2160.9</v>
      </c>
      <c r="J33" s="2">
        <v>2175.25</v>
      </c>
      <c r="K33" s="2">
        <v>2250</v>
      </c>
      <c r="L33" s="2">
        <v>2225.4499999999998</v>
      </c>
      <c r="M33" s="2">
        <v>2206.04</v>
      </c>
      <c r="N33" s="2">
        <v>4190</v>
      </c>
      <c r="O33" s="2">
        <v>1017.45</v>
      </c>
      <c r="P33" s="2">
        <v>1946259</v>
      </c>
      <c r="Q33" s="2">
        <v>151256</v>
      </c>
    </row>
    <row r="34" spans="1:17" x14ac:dyDescent="0.3">
      <c r="A34" s="1">
        <v>45258</v>
      </c>
      <c r="B34" s="1" t="str">
        <f>TEXT(A34,"dddd")</f>
        <v>Tuesday</v>
      </c>
      <c r="C34" s="1" t="str">
        <f>TEXT(A34,"mmmm")</f>
        <v>November</v>
      </c>
      <c r="D34" s="1" t="str">
        <f>"Q"&amp;ROUNDUP(MONTH(A34)/3,0)</f>
        <v>Q4</v>
      </c>
      <c r="E34" s="1" t="str">
        <f>TEXT(A34,"yyyy")</f>
        <v>2023</v>
      </c>
      <c r="F34" t="s">
        <v>13</v>
      </c>
      <c r="G34" s="2">
        <v>2301</v>
      </c>
      <c r="H34" s="2">
        <v>2512.4</v>
      </c>
      <c r="I34" s="2">
        <v>2275</v>
      </c>
      <c r="J34" s="2">
        <v>2225.4499999999998</v>
      </c>
      <c r="K34" s="2">
        <v>2430</v>
      </c>
      <c r="L34" s="2">
        <v>2423.5</v>
      </c>
      <c r="M34" s="2">
        <v>2416.12</v>
      </c>
      <c r="N34" s="2">
        <v>4190</v>
      </c>
      <c r="O34" s="2">
        <v>1017.45</v>
      </c>
      <c r="P34" s="2">
        <v>11972275</v>
      </c>
      <c r="Q34" s="2">
        <v>151256</v>
      </c>
    </row>
    <row r="35" spans="1:17" x14ac:dyDescent="0.3">
      <c r="A35" s="1">
        <v>45259</v>
      </c>
      <c r="B35" s="1" t="str">
        <f>TEXT(A35,"dddd")</f>
        <v>Wednesday</v>
      </c>
      <c r="C35" s="1" t="str">
        <f>TEXT(A35,"mmmm")</f>
        <v>November</v>
      </c>
      <c r="D35" s="1" t="str">
        <f>"Q"&amp;ROUNDUP(MONTH(A35)/3,0)</f>
        <v>Q4</v>
      </c>
      <c r="E35" s="1" t="str">
        <f>TEXT(A35,"yyyy")</f>
        <v>2023</v>
      </c>
      <c r="F35" t="s">
        <v>13</v>
      </c>
      <c r="G35" s="2">
        <v>2468.6999999999998</v>
      </c>
      <c r="H35" s="2">
        <v>2477.65</v>
      </c>
      <c r="I35" s="2">
        <v>2390</v>
      </c>
      <c r="J35" s="2">
        <v>2423.5</v>
      </c>
      <c r="K35" s="2">
        <v>2394</v>
      </c>
      <c r="L35" s="2">
        <v>2396.6</v>
      </c>
      <c r="M35" s="2">
        <v>2429.9899999999998</v>
      </c>
      <c r="N35" s="2">
        <v>4190</v>
      </c>
      <c r="O35" s="2">
        <v>1017.45</v>
      </c>
      <c r="P35" s="2">
        <v>4561574</v>
      </c>
      <c r="Q35" s="2">
        <v>151256</v>
      </c>
    </row>
    <row r="36" spans="1:17" x14ac:dyDescent="0.3">
      <c r="A36" s="1">
        <v>45260</v>
      </c>
      <c r="B36" s="1" t="str">
        <f>TEXT(A36,"dddd")</f>
        <v>Thursday</v>
      </c>
      <c r="C36" s="1" t="str">
        <f>TEXT(A36,"mmmm")</f>
        <v>November</v>
      </c>
      <c r="D36" s="1" t="str">
        <f>"Q"&amp;ROUNDUP(MONTH(A36)/3,0)</f>
        <v>Q4</v>
      </c>
      <c r="E36" s="1" t="str">
        <f>TEXT(A36,"yyyy")</f>
        <v>2023</v>
      </c>
      <c r="F36" t="s">
        <v>13</v>
      </c>
      <c r="G36" s="2">
        <v>2400.0500000000002</v>
      </c>
      <c r="H36" s="2">
        <v>2409</v>
      </c>
      <c r="I36" s="2">
        <v>2343.0500000000002</v>
      </c>
      <c r="J36" s="2">
        <v>2396.6</v>
      </c>
      <c r="K36" s="2">
        <v>2365.5</v>
      </c>
      <c r="L36" s="2">
        <v>2358.5500000000002</v>
      </c>
      <c r="M36" s="2">
        <v>2361.69</v>
      </c>
      <c r="N36" s="2">
        <v>4190</v>
      </c>
      <c r="O36" s="2">
        <v>1017.45</v>
      </c>
      <c r="P36" s="2">
        <v>2983879</v>
      </c>
      <c r="Q36" s="2">
        <v>151256</v>
      </c>
    </row>
    <row r="37" spans="1:17" x14ac:dyDescent="0.3">
      <c r="A37" s="1">
        <v>45261</v>
      </c>
      <c r="B37" s="1" t="str">
        <f>TEXT(A37,"dddd")</f>
        <v>Friday</v>
      </c>
      <c r="C37" s="1" t="str">
        <f>TEXT(A37,"mmmm")</f>
        <v>December</v>
      </c>
      <c r="D37" s="1" t="str">
        <f>"Q"&amp;ROUNDUP(MONTH(A37)/3,0)</f>
        <v>Q4</v>
      </c>
      <c r="E37" s="1" t="str">
        <f>TEXT(A37,"yyyy")</f>
        <v>2023</v>
      </c>
      <c r="F37" t="s">
        <v>13</v>
      </c>
      <c r="G37" s="2">
        <v>2370</v>
      </c>
      <c r="H37" s="2">
        <v>2403.35</v>
      </c>
      <c r="I37" s="2">
        <v>2354.1</v>
      </c>
      <c r="J37" s="2">
        <v>2358.5500000000002</v>
      </c>
      <c r="K37" s="2">
        <v>2359</v>
      </c>
      <c r="L37" s="2">
        <v>2362.6999999999998</v>
      </c>
      <c r="M37" s="2">
        <v>2372.38</v>
      </c>
      <c r="N37" s="2">
        <v>4190</v>
      </c>
      <c r="O37" s="2">
        <v>1017.45</v>
      </c>
      <c r="P37" s="2">
        <v>1792983</v>
      </c>
      <c r="Q37" s="2">
        <v>151256</v>
      </c>
    </row>
    <row r="38" spans="1:17" x14ac:dyDescent="0.3">
      <c r="A38" s="1">
        <v>45264</v>
      </c>
      <c r="B38" s="1" t="str">
        <f>TEXT(A38,"dddd")</f>
        <v>Monday</v>
      </c>
      <c r="C38" s="1" t="str">
        <f>TEXT(A38,"mmmm")</f>
        <v>December</v>
      </c>
      <c r="D38" s="1" t="str">
        <f>"Q"&amp;ROUNDUP(MONTH(A38)/3,0)</f>
        <v>Q4</v>
      </c>
      <c r="E38" s="1" t="str">
        <f>TEXT(A38,"yyyy")</f>
        <v>2023</v>
      </c>
      <c r="F38" t="s">
        <v>13</v>
      </c>
      <c r="G38" s="2">
        <v>2549.9499999999998</v>
      </c>
      <c r="H38" s="2">
        <v>2595</v>
      </c>
      <c r="I38" s="2">
        <v>2487.4499999999998</v>
      </c>
      <c r="J38" s="2">
        <v>2362.6999999999998</v>
      </c>
      <c r="K38" s="2">
        <v>2523</v>
      </c>
      <c r="L38" s="2">
        <v>2531.1999999999998</v>
      </c>
      <c r="M38" s="2">
        <v>2529.8000000000002</v>
      </c>
      <c r="N38" s="2">
        <v>4190</v>
      </c>
      <c r="O38" s="2">
        <v>1017.45</v>
      </c>
      <c r="P38" s="2">
        <v>5681516</v>
      </c>
      <c r="Q38" s="2">
        <v>151256</v>
      </c>
    </row>
    <row r="39" spans="1:17" x14ac:dyDescent="0.3">
      <c r="A39" s="1">
        <v>45265</v>
      </c>
      <c r="B39" s="1" t="str">
        <f>TEXT(A39,"dddd")</f>
        <v>Tuesday</v>
      </c>
      <c r="C39" s="1" t="str">
        <f>TEXT(A39,"mmmm")</f>
        <v>December</v>
      </c>
      <c r="D39" s="1" t="str">
        <f>"Q"&amp;ROUNDUP(MONTH(A39)/3,0)</f>
        <v>Q4</v>
      </c>
      <c r="E39" s="1" t="str">
        <f>TEXT(A39,"yyyy")</f>
        <v>2023</v>
      </c>
      <c r="F39" t="s">
        <v>13</v>
      </c>
      <c r="G39" s="2">
        <v>2531.1999999999998</v>
      </c>
      <c r="H39" s="2">
        <v>2999.9</v>
      </c>
      <c r="I39" s="2">
        <v>2531.1999999999998</v>
      </c>
      <c r="J39" s="2">
        <v>2531.1999999999998</v>
      </c>
      <c r="K39" s="2">
        <v>2971</v>
      </c>
      <c r="L39" s="2">
        <v>2959.35</v>
      </c>
      <c r="M39" s="2">
        <v>2804.15</v>
      </c>
      <c r="N39" s="2">
        <v>4190</v>
      </c>
      <c r="O39" s="2">
        <v>1017.45</v>
      </c>
      <c r="P39" s="2">
        <v>22879079</v>
      </c>
      <c r="Q39" s="2">
        <v>151256</v>
      </c>
    </row>
    <row r="40" spans="1:17" x14ac:dyDescent="0.3">
      <c r="A40" s="1">
        <v>45266</v>
      </c>
      <c r="B40" s="1" t="str">
        <f>TEXT(A40,"dddd")</f>
        <v>Wednesday</v>
      </c>
      <c r="C40" s="1" t="str">
        <f>TEXT(A40,"mmmm")</f>
        <v>December</v>
      </c>
      <c r="D40" s="1" t="str">
        <f>"Q"&amp;ROUNDUP(MONTH(A40)/3,0)</f>
        <v>Q4</v>
      </c>
      <c r="E40" s="1" t="str">
        <f>TEXT(A40,"yyyy")</f>
        <v>2023</v>
      </c>
      <c r="F40" t="s">
        <v>13</v>
      </c>
      <c r="G40" s="2">
        <v>3080</v>
      </c>
      <c r="H40" s="2">
        <v>3154.55</v>
      </c>
      <c r="I40" s="2">
        <v>2844.85</v>
      </c>
      <c r="J40" s="2">
        <v>2959.35</v>
      </c>
      <c r="K40" s="2">
        <v>2893</v>
      </c>
      <c r="L40" s="2">
        <v>2883.95</v>
      </c>
      <c r="M40" s="2">
        <v>2987.51</v>
      </c>
      <c r="N40" s="2">
        <v>4190</v>
      </c>
      <c r="O40" s="2">
        <v>1017.45</v>
      </c>
      <c r="P40" s="2">
        <v>19355777</v>
      </c>
      <c r="Q40" s="2">
        <v>151256</v>
      </c>
    </row>
    <row r="41" spans="1:17" x14ac:dyDescent="0.3">
      <c r="A41" s="1">
        <v>45267</v>
      </c>
      <c r="B41" s="1" t="str">
        <f>TEXT(A41,"dddd")</f>
        <v>Thursday</v>
      </c>
      <c r="C41" s="1" t="str">
        <f>TEXT(A41,"mmmm")</f>
        <v>December</v>
      </c>
      <c r="D41" s="1" t="str">
        <f>"Q"&amp;ROUNDUP(MONTH(A41)/3,0)</f>
        <v>Q4</v>
      </c>
      <c r="E41" s="1" t="str">
        <f>TEXT(A41,"yyyy")</f>
        <v>2023</v>
      </c>
      <c r="F41" t="s">
        <v>13</v>
      </c>
      <c r="G41" s="2">
        <v>2900</v>
      </c>
      <c r="H41" s="2">
        <v>2945.9</v>
      </c>
      <c r="I41" s="2">
        <v>2853.05</v>
      </c>
      <c r="J41" s="2">
        <v>2883.95</v>
      </c>
      <c r="K41" s="2">
        <v>2892.3</v>
      </c>
      <c r="L41" s="2">
        <v>2887.15</v>
      </c>
      <c r="M41" s="2">
        <v>2898.6</v>
      </c>
      <c r="N41" s="2">
        <v>4190</v>
      </c>
      <c r="O41" s="2">
        <v>1017.45</v>
      </c>
      <c r="P41" s="2">
        <v>6325887</v>
      </c>
      <c r="Q41" s="2">
        <v>151256</v>
      </c>
    </row>
    <row r="42" spans="1:17" x14ac:dyDescent="0.3">
      <c r="A42" s="1">
        <v>45268</v>
      </c>
      <c r="B42" s="1" t="str">
        <f>TEXT(A42,"dddd")</f>
        <v>Friday</v>
      </c>
      <c r="C42" s="1" t="str">
        <f>TEXT(A42,"mmmm")</f>
        <v>December</v>
      </c>
      <c r="D42" s="1" t="str">
        <f>"Q"&amp;ROUNDUP(MONTH(A42)/3,0)</f>
        <v>Q4</v>
      </c>
      <c r="E42" s="1" t="str">
        <f>TEXT(A42,"yyyy")</f>
        <v>2023</v>
      </c>
      <c r="F42" t="s">
        <v>13</v>
      </c>
      <c r="G42" s="2">
        <v>2902.7</v>
      </c>
      <c r="H42" s="2">
        <v>2927</v>
      </c>
      <c r="I42" s="2">
        <v>2760</v>
      </c>
      <c r="J42" s="2">
        <v>2887.15</v>
      </c>
      <c r="K42" s="2">
        <v>2829.9</v>
      </c>
      <c r="L42" s="2">
        <v>2822.15</v>
      </c>
      <c r="M42" s="2">
        <v>2839.19</v>
      </c>
      <c r="N42" s="2">
        <v>4190</v>
      </c>
      <c r="O42" s="2">
        <v>1017.45</v>
      </c>
      <c r="P42" s="2">
        <v>6959428</v>
      </c>
      <c r="Q42" s="2">
        <v>151256</v>
      </c>
    </row>
    <row r="43" spans="1:17" x14ac:dyDescent="0.3">
      <c r="A43" s="1">
        <v>45271</v>
      </c>
      <c r="B43" s="1" t="str">
        <f>TEXT(A43,"dddd")</f>
        <v>Monday</v>
      </c>
      <c r="C43" s="1" t="str">
        <f>TEXT(A43,"mmmm")</f>
        <v>December</v>
      </c>
      <c r="D43" s="1" t="str">
        <f>"Q"&amp;ROUNDUP(MONTH(A43)/3,0)</f>
        <v>Q4</v>
      </c>
      <c r="E43" s="1" t="str">
        <f>TEXT(A43,"yyyy")</f>
        <v>2023</v>
      </c>
      <c r="F43" t="s">
        <v>13</v>
      </c>
      <c r="G43" s="2">
        <v>2837.05</v>
      </c>
      <c r="H43" s="2">
        <v>2919.9</v>
      </c>
      <c r="I43" s="2">
        <v>2811.05</v>
      </c>
      <c r="J43" s="2">
        <v>2822.15</v>
      </c>
      <c r="K43" s="2">
        <v>2862</v>
      </c>
      <c r="L43" s="2">
        <v>2855.8</v>
      </c>
      <c r="M43" s="2">
        <v>2867.92</v>
      </c>
      <c r="N43" s="2">
        <v>4190</v>
      </c>
      <c r="O43" s="2">
        <v>1017.45</v>
      </c>
      <c r="P43" s="2">
        <v>5064123</v>
      </c>
      <c r="Q43" s="2">
        <v>151256</v>
      </c>
    </row>
    <row r="44" spans="1:17" x14ac:dyDescent="0.3">
      <c r="A44" s="1">
        <v>45272</v>
      </c>
      <c r="B44" s="1" t="str">
        <f>TEXT(A44,"dddd")</f>
        <v>Tuesday</v>
      </c>
      <c r="C44" s="1" t="str">
        <f>TEXT(A44,"mmmm")</f>
        <v>December</v>
      </c>
      <c r="D44" s="1" t="str">
        <f>"Q"&amp;ROUNDUP(MONTH(A44)/3,0)</f>
        <v>Q4</v>
      </c>
      <c r="E44" s="1" t="str">
        <f>TEXT(A44,"yyyy")</f>
        <v>2023</v>
      </c>
      <c r="F44" t="s">
        <v>13</v>
      </c>
      <c r="G44" s="2">
        <v>2869.1</v>
      </c>
      <c r="H44" s="2">
        <v>2895.95</v>
      </c>
      <c r="I44" s="2">
        <v>2840.55</v>
      </c>
      <c r="J44" s="2">
        <v>2855.8</v>
      </c>
      <c r="K44" s="2">
        <v>2855</v>
      </c>
      <c r="L44" s="2">
        <v>2857.65</v>
      </c>
      <c r="M44" s="2">
        <v>2864.57</v>
      </c>
      <c r="N44" s="2">
        <v>4190</v>
      </c>
      <c r="O44" s="2">
        <v>1017.45</v>
      </c>
      <c r="P44" s="2">
        <v>2017772</v>
      </c>
      <c r="Q44" s="2">
        <v>151256</v>
      </c>
    </row>
    <row r="45" spans="1:17" x14ac:dyDescent="0.3">
      <c r="A45" s="1">
        <v>45273</v>
      </c>
      <c r="B45" s="1" t="str">
        <f>TEXT(A45,"dddd")</f>
        <v>Wednesday</v>
      </c>
      <c r="C45" s="1" t="str">
        <f>TEXT(A45,"mmmm")</f>
        <v>December</v>
      </c>
      <c r="D45" s="1" t="str">
        <f>"Q"&amp;ROUNDUP(MONTH(A45)/3,0)</f>
        <v>Q4</v>
      </c>
      <c r="E45" s="1" t="str">
        <f>TEXT(A45,"yyyy")</f>
        <v>2023</v>
      </c>
      <c r="F45" t="s">
        <v>13</v>
      </c>
      <c r="G45" s="2">
        <v>2860</v>
      </c>
      <c r="H45" s="2">
        <v>2899.1</v>
      </c>
      <c r="I45" s="2">
        <v>2805</v>
      </c>
      <c r="J45" s="2">
        <v>2857.65</v>
      </c>
      <c r="K45" s="2">
        <v>2887</v>
      </c>
      <c r="L45" s="2">
        <v>2875.05</v>
      </c>
      <c r="M45" s="2">
        <v>2854.75</v>
      </c>
      <c r="N45" s="2">
        <v>4190</v>
      </c>
      <c r="O45" s="2">
        <v>1017.45</v>
      </c>
      <c r="P45" s="2">
        <v>2805832</v>
      </c>
      <c r="Q45" s="2">
        <v>151256</v>
      </c>
    </row>
    <row r="46" spans="1:17" x14ac:dyDescent="0.3">
      <c r="A46" s="1">
        <v>45274</v>
      </c>
      <c r="B46" s="1" t="str">
        <f>TEXT(A46,"dddd")</f>
        <v>Thursday</v>
      </c>
      <c r="C46" s="1" t="str">
        <f>TEXT(A46,"mmmm")</f>
        <v>December</v>
      </c>
      <c r="D46" s="1" t="str">
        <f>"Q"&amp;ROUNDUP(MONTH(A46)/3,0)</f>
        <v>Q4</v>
      </c>
      <c r="E46" s="1" t="str">
        <f>TEXT(A46,"yyyy")</f>
        <v>2023</v>
      </c>
      <c r="F46" t="s">
        <v>13</v>
      </c>
      <c r="G46" s="2">
        <v>2900.95</v>
      </c>
      <c r="H46" s="2">
        <v>2932.95</v>
      </c>
      <c r="I46" s="2">
        <v>2887</v>
      </c>
      <c r="J46" s="2">
        <v>2875.05</v>
      </c>
      <c r="K46" s="2">
        <v>2893</v>
      </c>
      <c r="L46" s="2">
        <v>2894.05</v>
      </c>
      <c r="M46" s="2">
        <v>2908.68</v>
      </c>
      <c r="N46" s="2">
        <v>4190</v>
      </c>
      <c r="O46" s="2">
        <v>1017.45</v>
      </c>
      <c r="P46" s="2">
        <v>3224681</v>
      </c>
      <c r="Q46" s="2">
        <v>151256</v>
      </c>
    </row>
    <row r="47" spans="1:17" x14ac:dyDescent="0.3">
      <c r="A47" s="1">
        <v>45275</v>
      </c>
      <c r="B47" s="1" t="str">
        <f>TEXT(A47,"dddd")</f>
        <v>Friday</v>
      </c>
      <c r="C47" s="1" t="str">
        <f>TEXT(A47,"mmmm")</f>
        <v>December</v>
      </c>
      <c r="D47" s="1" t="str">
        <f>"Q"&amp;ROUNDUP(MONTH(A47)/3,0)</f>
        <v>Q4</v>
      </c>
      <c r="E47" s="1" t="str">
        <f>TEXT(A47,"yyyy")</f>
        <v>2023</v>
      </c>
      <c r="F47" t="s">
        <v>13</v>
      </c>
      <c r="G47" s="2">
        <v>2912.05</v>
      </c>
      <c r="H47" s="2">
        <v>3000</v>
      </c>
      <c r="I47" s="2">
        <v>2893.9</v>
      </c>
      <c r="J47" s="2">
        <v>2894.05</v>
      </c>
      <c r="K47" s="2">
        <v>2987</v>
      </c>
      <c r="L47" s="2">
        <v>2991.8</v>
      </c>
      <c r="M47" s="2">
        <v>2962.62</v>
      </c>
      <c r="N47" s="2">
        <v>4190</v>
      </c>
      <c r="O47" s="2">
        <v>1017.45</v>
      </c>
      <c r="P47" s="2">
        <v>4921484</v>
      </c>
      <c r="Q47" s="2">
        <v>151256</v>
      </c>
    </row>
    <row r="48" spans="1:17" x14ac:dyDescent="0.3">
      <c r="A48" s="1">
        <v>45278</v>
      </c>
      <c r="B48" s="1" t="str">
        <f>TEXT(A48,"dddd")</f>
        <v>Monday</v>
      </c>
      <c r="C48" s="1" t="str">
        <f>TEXT(A48,"mmmm")</f>
        <v>December</v>
      </c>
      <c r="D48" s="1" t="str">
        <f>"Q"&amp;ROUNDUP(MONTH(A48)/3,0)</f>
        <v>Q4</v>
      </c>
      <c r="E48" s="1" t="str">
        <f>TEXT(A48,"yyyy")</f>
        <v>2023</v>
      </c>
      <c r="F48" t="s">
        <v>13</v>
      </c>
      <c r="G48" s="2">
        <v>2993.95</v>
      </c>
      <c r="H48" s="2">
        <v>3027.75</v>
      </c>
      <c r="I48" s="2">
        <v>2961.1</v>
      </c>
      <c r="J48" s="2">
        <v>2991.8</v>
      </c>
      <c r="K48" s="2">
        <v>2974</v>
      </c>
      <c r="L48" s="2">
        <v>2980.6</v>
      </c>
      <c r="M48" s="2">
        <v>2993.07</v>
      </c>
      <c r="N48" s="2">
        <v>4190</v>
      </c>
      <c r="O48" s="2">
        <v>1017.45</v>
      </c>
      <c r="P48" s="2">
        <v>2315922</v>
      </c>
      <c r="Q48" s="2">
        <v>151256</v>
      </c>
    </row>
    <row r="49" spans="1:17" x14ac:dyDescent="0.3">
      <c r="A49" s="1">
        <v>45279</v>
      </c>
      <c r="B49" s="1" t="str">
        <f>TEXT(A49,"dddd")</f>
        <v>Tuesday</v>
      </c>
      <c r="C49" s="1" t="str">
        <f>TEXT(A49,"mmmm")</f>
        <v>December</v>
      </c>
      <c r="D49" s="1" t="str">
        <f>"Q"&amp;ROUNDUP(MONTH(A49)/3,0)</f>
        <v>Q4</v>
      </c>
      <c r="E49" s="1" t="str">
        <f>TEXT(A49,"yyyy")</f>
        <v>2023</v>
      </c>
      <c r="F49" t="s">
        <v>13</v>
      </c>
      <c r="G49" s="2">
        <v>2988.8</v>
      </c>
      <c r="H49" s="2">
        <v>2994.35</v>
      </c>
      <c r="I49" s="2">
        <v>2915</v>
      </c>
      <c r="J49" s="2">
        <v>2980.6</v>
      </c>
      <c r="K49" s="2">
        <v>2940</v>
      </c>
      <c r="L49" s="2">
        <v>2941.25</v>
      </c>
      <c r="M49" s="2">
        <v>2950.36</v>
      </c>
      <c r="N49" s="2">
        <v>4190</v>
      </c>
      <c r="O49" s="2">
        <v>1017.45</v>
      </c>
      <c r="P49" s="2">
        <v>1741493</v>
      </c>
      <c r="Q49" s="2">
        <v>151256</v>
      </c>
    </row>
    <row r="50" spans="1:17" x14ac:dyDescent="0.3">
      <c r="A50" s="1">
        <v>45280</v>
      </c>
      <c r="B50" s="1" t="str">
        <f>TEXT(A50,"dddd")</f>
        <v>Wednesday</v>
      </c>
      <c r="C50" s="1" t="str">
        <f>TEXT(A50,"mmmm")</f>
        <v>December</v>
      </c>
      <c r="D50" s="1" t="str">
        <f>"Q"&amp;ROUNDUP(MONTH(A50)/3,0)</f>
        <v>Q4</v>
      </c>
      <c r="E50" s="1" t="str">
        <f>TEXT(A50,"yyyy")</f>
        <v>2023</v>
      </c>
      <c r="F50" t="s">
        <v>13</v>
      </c>
      <c r="G50" s="2">
        <v>2946</v>
      </c>
      <c r="H50" s="2">
        <v>2968</v>
      </c>
      <c r="I50" s="2">
        <v>2766.2</v>
      </c>
      <c r="J50" s="2">
        <v>2941.25</v>
      </c>
      <c r="K50" s="2">
        <v>2775</v>
      </c>
      <c r="L50" s="2">
        <v>2783.85</v>
      </c>
      <c r="M50" s="2">
        <v>2870.07</v>
      </c>
      <c r="N50" s="2">
        <v>4190</v>
      </c>
      <c r="O50" s="2">
        <v>1017.45</v>
      </c>
      <c r="P50" s="2">
        <v>3417739</v>
      </c>
      <c r="Q50" s="2">
        <v>151256</v>
      </c>
    </row>
    <row r="51" spans="1:17" x14ac:dyDescent="0.3">
      <c r="A51" s="1">
        <v>45281</v>
      </c>
      <c r="B51" s="1" t="str">
        <f>TEXT(A51,"dddd")</f>
        <v>Thursday</v>
      </c>
      <c r="C51" s="1" t="str">
        <f>TEXT(A51,"mmmm")</f>
        <v>December</v>
      </c>
      <c r="D51" s="1" t="str">
        <f>"Q"&amp;ROUNDUP(MONTH(A51)/3,0)</f>
        <v>Q4</v>
      </c>
      <c r="E51" s="1" t="str">
        <f>TEXT(A51,"yyyy")</f>
        <v>2023</v>
      </c>
      <c r="F51" t="s">
        <v>13</v>
      </c>
      <c r="G51" s="2">
        <v>2750</v>
      </c>
      <c r="H51" s="2">
        <v>2821.95</v>
      </c>
      <c r="I51" s="2">
        <v>2725</v>
      </c>
      <c r="J51" s="2">
        <v>2783.85</v>
      </c>
      <c r="K51" s="2">
        <v>2812.9</v>
      </c>
      <c r="L51" s="2">
        <v>2799.75</v>
      </c>
      <c r="M51" s="2">
        <v>2788.43</v>
      </c>
      <c r="N51" s="2">
        <v>4190</v>
      </c>
      <c r="O51" s="2">
        <v>1017.45</v>
      </c>
      <c r="P51" s="2">
        <v>2678577</v>
      </c>
      <c r="Q51" s="2">
        <v>151256</v>
      </c>
    </row>
    <row r="52" spans="1:17" x14ac:dyDescent="0.3">
      <c r="A52" s="1">
        <v>45282</v>
      </c>
      <c r="B52" s="1" t="str">
        <f>TEXT(A52,"dddd")</f>
        <v>Friday</v>
      </c>
      <c r="C52" s="1" t="str">
        <f>TEXT(A52,"mmmm")</f>
        <v>December</v>
      </c>
      <c r="D52" s="1" t="str">
        <f>"Q"&amp;ROUNDUP(MONTH(A52)/3,0)</f>
        <v>Q4</v>
      </c>
      <c r="E52" s="1" t="str">
        <f>TEXT(A52,"yyyy")</f>
        <v>2023</v>
      </c>
      <c r="F52" t="s">
        <v>13</v>
      </c>
      <c r="G52" s="2">
        <v>2815.95</v>
      </c>
      <c r="H52" s="2">
        <v>2847.6</v>
      </c>
      <c r="I52" s="2">
        <v>2791.4</v>
      </c>
      <c r="J52" s="2">
        <v>2799.75</v>
      </c>
      <c r="K52" s="2">
        <v>2806</v>
      </c>
      <c r="L52" s="2">
        <v>2808.35</v>
      </c>
      <c r="M52" s="2">
        <v>2819.62</v>
      </c>
      <c r="N52" s="2">
        <v>4190</v>
      </c>
      <c r="O52" s="2">
        <v>1017.45</v>
      </c>
      <c r="P52" s="2">
        <v>1513956</v>
      </c>
      <c r="Q52" s="2">
        <v>151256</v>
      </c>
    </row>
    <row r="53" spans="1:17" x14ac:dyDescent="0.3">
      <c r="A53" s="1">
        <v>45286</v>
      </c>
      <c r="B53" s="1" t="str">
        <f>TEXT(A53,"dddd")</f>
        <v>Tuesday</v>
      </c>
      <c r="C53" s="1" t="str">
        <f>TEXT(A53,"mmmm")</f>
        <v>December</v>
      </c>
      <c r="D53" s="1" t="str">
        <f>"Q"&amp;ROUNDUP(MONTH(A53)/3,0)</f>
        <v>Q4</v>
      </c>
      <c r="E53" s="1" t="str">
        <f>TEXT(A53,"yyyy")</f>
        <v>2023</v>
      </c>
      <c r="F53" t="s">
        <v>13</v>
      </c>
      <c r="G53" s="2">
        <v>2817</v>
      </c>
      <c r="H53" s="2">
        <v>2893.75</v>
      </c>
      <c r="I53" s="2">
        <v>2800.1</v>
      </c>
      <c r="J53" s="2">
        <v>2808.35</v>
      </c>
      <c r="K53" s="2">
        <v>2877.05</v>
      </c>
      <c r="L53" s="2">
        <v>2865.45</v>
      </c>
      <c r="M53" s="2">
        <v>2859.55</v>
      </c>
      <c r="N53" s="2">
        <v>3898</v>
      </c>
      <c r="O53" s="2">
        <v>1017.45</v>
      </c>
      <c r="P53" s="2">
        <v>2048484</v>
      </c>
      <c r="Q53" s="2">
        <v>151256</v>
      </c>
    </row>
    <row r="54" spans="1:17" x14ac:dyDescent="0.3">
      <c r="A54" s="1">
        <v>45287</v>
      </c>
      <c r="B54" s="1" t="str">
        <f>TEXT(A54,"dddd")</f>
        <v>Wednesday</v>
      </c>
      <c r="C54" s="1" t="str">
        <f>TEXT(A54,"mmmm")</f>
        <v>December</v>
      </c>
      <c r="D54" s="1" t="str">
        <f>"Q"&amp;ROUNDUP(MONTH(A54)/3,0)</f>
        <v>Q4</v>
      </c>
      <c r="E54" s="1" t="str">
        <f>TEXT(A54,"yyyy")</f>
        <v>2023</v>
      </c>
      <c r="F54" t="s">
        <v>13</v>
      </c>
      <c r="G54" s="2">
        <v>2880.7</v>
      </c>
      <c r="H54" s="2">
        <v>2894.8</v>
      </c>
      <c r="I54" s="2">
        <v>2833.6</v>
      </c>
      <c r="J54" s="2">
        <v>2865.45</v>
      </c>
      <c r="K54" s="2">
        <v>2846</v>
      </c>
      <c r="L54" s="2">
        <v>2843.35</v>
      </c>
      <c r="M54" s="2">
        <v>2854.23</v>
      </c>
      <c r="N54" s="2">
        <v>3898</v>
      </c>
      <c r="O54" s="2">
        <v>1017.45</v>
      </c>
      <c r="P54" s="2">
        <v>1698325</v>
      </c>
      <c r="Q54" s="2">
        <v>151256</v>
      </c>
    </row>
    <row r="55" spans="1:17" x14ac:dyDescent="0.3">
      <c r="A55" s="1">
        <v>45288</v>
      </c>
      <c r="B55" s="1" t="str">
        <f>TEXT(A55,"dddd")</f>
        <v>Thursday</v>
      </c>
      <c r="C55" s="1" t="str">
        <f>TEXT(A55,"mmmm")</f>
        <v>December</v>
      </c>
      <c r="D55" s="1" t="str">
        <f>"Q"&amp;ROUNDUP(MONTH(A55)/3,0)</f>
        <v>Q4</v>
      </c>
      <c r="E55" s="1" t="str">
        <f>TEXT(A55,"yyyy")</f>
        <v>2023</v>
      </c>
      <c r="F55" t="s">
        <v>13</v>
      </c>
      <c r="G55" s="2">
        <v>2855</v>
      </c>
      <c r="H55" s="2">
        <v>2867.35</v>
      </c>
      <c r="I55" s="2">
        <v>2800.1</v>
      </c>
      <c r="J55" s="2">
        <v>2843.35</v>
      </c>
      <c r="K55" s="2">
        <v>2816.9</v>
      </c>
      <c r="L55" s="2">
        <v>2809.9</v>
      </c>
      <c r="M55" s="2">
        <v>2818.51</v>
      </c>
      <c r="N55" s="2">
        <v>3898</v>
      </c>
      <c r="O55" s="2">
        <v>1017.45</v>
      </c>
      <c r="P55" s="2">
        <v>4102912</v>
      </c>
      <c r="Q55" s="2">
        <v>151256</v>
      </c>
    </row>
    <row r="56" spans="1:17" x14ac:dyDescent="0.3">
      <c r="A56" s="1">
        <v>45289</v>
      </c>
      <c r="B56" s="1" t="str">
        <f>TEXT(A56,"dddd")</f>
        <v>Friday</v>
      </c>
      <c r="C56" s="1" t="str">
        <f>TEXT(A56,"mmmm")</f>
        <v>December</v>
      </c>
      <c r="D56" s="1" t="str">
        <f>"Q"&amp;ROUNDUP(MONTH(A56)/3,0)</f>
        <v>Q4</v>
      </c>
      <c r="E56" s="1" t="str">
        <f>TEXT(A56,"yyyy")</f>
        <v>2023</v>
      </c>
      <c r="F56" t="s">
        <v>13</v>
      </c>
      <c r="G56" s="2">
        <v>2823.9</v>
      </c>
      <c r="H56" s="2">
        <v>2863.3</v>
      </c>
      <c r="I56" s="2">
        <v>2802.85</v>
      </c>
      <c r="J56" s="2">
        <v>2809.9</v>
      </c>
      <c r="K56" s="2">
        <v>2849.05</v>
      </c>
      <c r="L56" s="2">
        <v>2848.95</v>
      </c>
      <c r="M56" s="2">
        <v>2838.38</v>
      </c>
      <c r="N56" s="2">
        <v>3898</v>
      </c>
      <c r="O56" s="2">
        <v>1017.45</v>
      </c>
      <c r="P56" s="2">
        <v>1507086</v>
      </c>
      <c r="Q56" s="2">
        <v>151256</v>
      </c>
    </row>
    <row r="57" spans="1:17" x14ac:dyDescent="0.3">
      <c r="A57" s="1">
        <v>45292</v>
      </c>
      <c r="B57" s="1" t="str">
        <f>TEXT(A57,"dddd")</f>
        <v>Monday</v>
      </c>
      <c r="C57" s="1" t="str">
        <f>TEXT(A57,"mmmm")</f>
        <v>January</v>
      </c>
      <c r="D57" s="1" t="str">
        <f>"Q"&amp;ROUNDUP(MONTH(A57)/3,0)</f>
        <v>Q1</v>
      </c>
      <c r="E57" s="1" t="str">
        <f>TEXT(A57,"yyyy")</f>
        <v>2024</v>
      </c>
      <c r="F57" t="s">
        <v>13</v>
      </c>
      <c r="G57" s="2">
        <v>2852.3</v>
      </c>
      <c r="H57" s="2">
        <v>2947</v>
      </c>
      <c r="I57" s="2">
        <v>2842.05</v>
      </c>
      <c r="J57" s="2">
        <v>2848.95</v>
      </c>
      <c r="K57" s="2">
        <v>2902.85</v>
      </c>
      <c r="L57" s="2">
        <v>2917.2</v>
      </c>
      <c r="M57" s="2">
        <v>2914.54</v>
      </c>
      <c r="N57" s="2">
        <v>3880</v>
      </c>
      <c r="O57" s="2">
        <v>1017.45</v>
      </c>
      <c r="P57" s="2">
        <v>2898619</v>
      </c>
      <c r="Q57" s="2">
        <v>151256</v>
      </c>
    </row>
    <row r="58" spans="1:17" x14ac:dyDescent="0.3">
      <c r="A58" s="1">
        <v>45293</v>
      </c>
      <c r="B58" s="1" t="str">
        <f>TEXT(A58,"dddd")</f>
        <v>Tuesday</v>
      </c>
      <c r="C58" s="1" t="str">
        <f>TEXT(A58,"mmmm")</f>
        <v>January</v>
      </c>
      <c r="D58" s="1" t="str">
        <f>"Q"&amp;ROUNDUP(MONTH(A58)/3,0)</f>
        <v>Q1</v>
      </c>
      <c r="E58" s="1" t="str">
        <f>TEXT(A58,"yyyy")</f>
        <v>2024</v>
      </c>
      <c r="F58" t="s">
        <v>13</v>
      </c>
      <c r="G58" s="2">
        <v>2922</v>
      </c>
      <c r="H58" s="2">
        <v>2948.2</v>
      </c>
      <c r="I58" s="2">
        <v>2841</v>
      </c>
      <c r="J58" s="2">
        <v>2917.2</v>
      </c>
      <c r="K58" s="2">
        <v>2931</v>
      </c>
      <c r="L58" s="2">
        <v>2932.4</v>
      </c>
      <c r="M58" s="2">
        <v>2903.97</v>
      </c>
      <c r="N58" s="2">
        <v>3880</v>
      </c>
      <c r="O58" s="2">
        <v>1017.45</v>
      </c>
      <c r="P58" s="2">
        <v>2671368</v>
      </c>
      <c r="Q58" s="2">
        <v>151256</v>
      </c>
    </row>
    <row r="59" spans="1:17" x14ac:dyDescent="0.3">
      <c r="A59" s="1">
        <v>45294</v>
      </c>
      <c r="B59" s="1" t="str">
        <f>TEXT(A59,"dddd")</f>
        <v>Wednesday</v>
      </c>
      <c r="C59" s="1" t="str">
        <f>TEXT(A59,"mmmm")</f>
        <v>January</v>
      </c>
      <c r="D59" s="1" t="str">
        <f>"Q"&amp;ROUNDUP(MONTH(A59)/3,0)</f>
        <v>Q1</v>
      </c>
      <c r="E59" s="1" t="str">
        <f>TEXT(A59,"yyyy")</f>
        <v>2024</v>
      </c>
      <c r="F59" t="s">
        <v>13</v>
      </c>
      <c r="G59" s="2">
        <v>3047</v>
      </c>
      <c r="H59" s="2">
        <v>3199</v>
      </c>
      <c r="I59" s="2">
        <v>2955.6</v>
      </c>
      <c r="J59" s="2">
        <v>2932.4</v>
      </c>
      <c r="K59" s="2">
        <v>3005</v>
      </c>
      <c r="L59" s="2">
        <v>3003</v>
      </c>
      <c r="M59" s="2">
        <v>3060.56</v>
      </c>
      <c r="N59" s="2">
        <v>3880</v>
      </c>
      <c r="O59" s="2">
        <v>1017.45</v>
      </c>
      <c r="P59" s="2">
        <v>19725411</v>
      </c>
      <c r="Q59" s="2">
        <v>151256</v>
      </c>
    </row>
    <row r="60" spans="1:17" x14ac:dyDescent="0.3">
      <c r="A60" s="1">
        <v>45295</v>
      </c>
      <c r="B60" s="1" t="str">
        <f>TEXT(A60,"dddd")</f>
        <v>Thursday</v>
      </c>
      <c r="C60" s="1" t="str">
        <f>TEXT(A60,"mmmm")</f>
        <v>January</v>
      </c>
      <c r="D60" s="1" t="str">
        <f>"Q"&amp;ROUNDUP(MONTH(A60)/3,0)</f>
        <v>Q1</v>
      </c>
      <c r="E60" s="1" t="str">
        <f>TEXT(A60,"yyyy")</f>
        <v>2024</v>
      </c>
      <c r="F60" t="s">
        <v>13</v>
      </c>
      <c r="G60" s="2">
        <v>3039.4</v>
      </c>
      <c r="H60" s="2">
        <v>3044.45</v>
      </c>
      <c r="I60" s="2">
        <v>2990</v>
      </c>
      <c r="J60" s="2">
        <v>3003</v>
      </c>
      <c r="K60" s="2">
        <v>2996</v>
      </c>
      <c r="L60" s="2">
        <v>2998.3</v>
      </c>
      <c r="M60" s="2">
        <v>3011.56</v>
      </c>
      <c r="N60" s="2">
        <v>3880</v>
      </c>
      <c r="O60" s="2">
        <v>1017.45</v>
      </c>
      <c r="P60" s="2">
        <v>2975620</v>
      </c>
      <c r="Q60" s="2">
        <v>151256</v>
      </c>
    </row>
    <row r="61" spans="1:17" x14ac:dyDescent="0.3">
      <c r="A61" s="1">
        <v>45296</v>
      </c>
      <c r="B61" s="1" t="str">
        <f>TEXT(A61,"dddd")</f>
        <v>Friday</v>
      </c>
      <c r="C61" s="1" t="str">
        <f>TEXT(A61,"mmmm")</f>
        <v>January</v>
      </c>
      <c r="D61" s="1" t="str">
        <f>"Q"&amp;ROUNDUP(MONTH(A61)/3,0)</f>
        <v>Q1</v>
      </c>
      <c r="E61" s="1" t="str">
        <f>TEXT(A61,"yyyy")</f>
        <v>2024</v>
      </c>
      <c r="F61" t="s">
        <v>13</v>
      </c>
      <c r="G61" s="2">
        <v>3009.95</v>
      </c>
      <c r="H61" s="2">
        <v>3066.9</v>
      </c>
      <c r="I61" s="2">
        <v>2981.1</v>
      </c>
      <c r="J61" s="2">
        <v>2998.3</v>
      </c>
      <c r="K61" s="2">
        <v>3009</v>
      </c>
      <c r="L61" s="2">
        <v>3006.6</v>
      </c>
      <c r="M61" s="2">
        <v>3026.08</v>
      </c>
      <c r="N61" s="2">
        <v>3880</v>
      </c>
      <c r="O61" s="2">
        <v>1017.45</v>
      </c>
      <c r="P61" s="2">
        <v>3219949</v>
      </c>
      <c r="Q61" s="2">
        <v>151256</v>
      </c>
    </row>
    <row r="62" spans="1:17" x14ac:dyDescent="0.3">
      <c r="A62" s="1">
        <v>45299</v>
      </c>
      <c r="B62" s="1" t="str">
        <f>TEXT(A62,"dddd")</f>
        <v>Monday</v>
      </c>
      <c r="C62" s="1" t="str">
        <f>TEXT(A62,"mmmm")</f>
        <v>January</v>
      </c>
      <c r="D62" s="1" t="str">
        <f>"Q"&amp;ROUNDUP(MONTH(A62)/3,0)</f>
        <v>Q1</v>
      </c>
      <c r="E62" s="1" t="str">
        <f>TEXT(A62,"yyyy")</f>
        <v>2024</v>
      </c>
      <c r="F62" t="s">
        <v>13</v>
      </c>
      <c r="G62" s="2">
        <v>3020</v>
      </c>
      <c r="H62" s="2">
        <v>3027</v>
      </c>
      <c r="I62" s="2">
        <v>2952.95</v>
      </c>
      <c r="J62" s="2">
        <v>3006.6</v>
      </c>
      <c r="K62" s="2">
        <v>2965</v>
      </c>
      <c r="L62" s="2">
        <v>2963.5</v>
      </c>
      <c r="M62" s="2">
        <v>2990.76</v>
      </c>
      <c r="N62" s="2">
        <v>3880</v>
      </c>
      <c r="O62" s="2">
        <v>1017.45</v>
      </c>
      <c r="P62" s="2">
        <v>1849061</v>
      </c>
      <c r="Q62" s="2">
        <v>151256</v>
      </c>
    </row>
    <row r="63" spans="1:17" x14ac:dyDescent="0.3">
      <c r="A63" s="1">
        <v>45300</v>
      </c>
      <c r="B63" s="1" t="str">
        <f>TEXT(A63,"dddd")</f>
        <v>Tuesday</v>
      </c>
      <c r="C63" s="1" t="str">
        <f>TEXT(A63,"mmmm")</f>
        <v>January</v>
      </c>
      <c r="D63" s="1" t="str">
        <f>"Q"&amp;ROUNDUP(MONTH(A63)/3,0)</f>
        <v>Q1</v>
      </c>
      <c r="E63" s="1" t="str">
        <f>TEXT(A63,"yyyy")</f>
        <v>2024</v>
      </c>
      <c r="F63" t="s">
        <v>13</v>
      </c>
      <c r="G63" s="2">
        <v>2990.7</v>
      </c>
      <c r="H63" s="2">
        <v>3068.8</v>
      </c>
      <c r="I63" s="2">
        <v>2980</v>
      </c>
      <c r="J63" s="2">
        <v>2963.5</v>
      </c>
      <c r="K63" s="2">
        <v>3024.95</v>
      </c>
      <c r="L63" s="2">
        <v>3014.6</v>
      </c>
      <c r="M63" s="2">
        <v>3029.63</v>
      </c>
      <c r="N63" s="2">
        <v>3880</v>
      </c>
      <c r="O63" s="2">
        <v>1017.45</v>
      </c>
      <c r="P63" s="2">
        <v>2885706</v>
      </c>
      <c r="Q63" s="2">
        <v>151256</v>
      </c>
    </row>
    <row r="64" spans="1:17" x14ac:dyDescent="0.3">
      <c r="A64" s="1">
        <v>45301</v>
      </c>
      <c r="B64" s="1" t="str">
        <f>TEXT(A64,"dddd")</f>
        <v>Wednesday</v>
      </c>
      <c r="C64" s="1" t="str">
        <f>TEXT(A64,"mmmm")</f>
        <v>January</v>
      </c>
      <c r="D64" s="1" t="str">
        <f>"Q"&amp;ROUNDUP(MONTH(A64)/3,0)</f>
        <v>Q1</v>
      </c>
      <c r="E64" s="1" t="str">
        <f>TEXT(A64,"yyyy")</f>
        <v>2024</v>
      </c>
      <c r="F64" t="s">
        <v>13</v>
      </c>
      <c r="G64" s="2">
        <v>3024</v>
      </c>
      <c r="H64" s="2">
        <v>3112</v>
      </c>
      <c r="I64" s="2">
        <v>3020.05</v>
      </c>
      <c r="J64" s="2">
        <v>3014.6</v>
      </c>
      <c r="K64" s="2">
        <v>3107.8</v>
      </c>
      <c r="L64" s="2">
        <v>3098.2</v>
      </c>
      <c r="M64" s="2">
        <v>3077.75</v>
      </c>
      <c r="N64" s="2">
        <v>3880</v>
      </c>
      <c r="O64" s="2">
        <v>1017.45</v>
      </c>
      <c r="P64" s="2">
        <v>3590297</v>
      </c>
      <c r="Q64" s="2">
        <v>151256</v>
      </c>
    </row>
    <row r="65" spans="1:17" x14ac:dyDescent="0.3">
      <c r="A65" s="1">
        <v>45302</v>
      </c>
      <c r="B65" s="1" t="str">
        <f>TEXT(A65,"dddd")</f>
        <v>Thursday</v>
      </c>
      <c r="C65" s="1" t="str">
        <f>TEXT(A65,"mmmm")</f>
        <v>January</v>
      </c>
      <c r="D65" s="1" t="str">
        <f>"Q"&amp;ROUNDUP(MONTH(A65)/3,0)</f>
        <v>Q1</v>
      </c>
      <c r="E65" s="1" t="str">
        <f>TEXT(A65,"yyyy")</f>
        <v>2024</v>
      </c>
      <c r="F65" t="s">
        <v>13</v>
      </c>
      <c r="G65" s="2">
        <v>3120</v>
      </c>
      <c r="H65" s="2">
        <v>3129</v>
      </c>
      <c r="I65" s="2">
        <v>3065</v>
      </c>
      <c r="J65" s="2">
        <v>3098.2</v>
      </c>
      <c r="K65" s="2">
        <v>3084</v>
      </c>
      <c r="L65" s="2">
        <v>3080.9</v>
      </c>
      <c r="M65" s="2">
        <v>3089.22</v>
      </c>
      <c r="N65" s="2">
        <v>3880</v>
      </c>
      <c r="O65" s="2">
        <v>1017.45</v>
      </c>
      <c r="P65" s="2">
        <v>2008103</v>
      </c>
      <c r="Q65" s="2">
        <v>151256</v>
      </c>
    </row>
    <row r="66" spans="1:17" x14ac:dyDescent="0.3">
      <c r="A66" s="1">
        <v>45303</v>
      </c>
      <c r="B66" s="1" t="str">
        <f>TEXT(A66,"dddd")</f>
        <v>Friday</v>
      </c>
      <c r="C66" s="1" t="str">
        <f>TEXT(A66,"mmmm")</f>
        <v>January</v>
      </c>
      <c r="D66" s="1" t="str">
        <f>"Q"&amp;ROUNDUP(MONTH(A66)/3,0)</f>
        <v>Q1</v>
      </c>
      <c r="E66" s="1" t="str">
        <f>TEXT(A66,"yyyy")</f>
        <v>2024</v>
      </c>
      <c r="F66" t="s">
        <v>13</v>
      </c>
      <c r="G66" s="2">
        <v>3096.35</v>
      </c>
      <c r="H66" s="2">
        <v>3125</v>
      </c>
      <c r="I66" s="2">
        <v>3068.2</v>
      </c>
      <c r="J66" s="2">
        <v>3080.9</v>
      </c>
      <c r="K66" s="2">
        <v>3105.4</v>
      </c>
      <c r="L66" s="2">
        <v>3104.1</v>
      </c>
      <c r="M66" s="2">
        <v>3100.07</v>
      </c>
      <c r="N66" s="2">
        <v>3880</v>
      </c>
      <c r="O66" s="2">
        <v>1017.45</v>
      </c>
      <c r="P66" s="2">
        <v>1795933</v>
      </c>
      <c r="Q66" s="2">
        <v>151256</v>
      </c>
    </row>
    <row r="67" spans="1:17" x14ac:dyDescent="0.3">
      <c r="A67" s="1">
        <v>45306</v>
      </c>
      <c r="B67" s="1" t="str">
        <f>TEXT(A67,"dddd")</f>
        <v>Monday</v>
      </c>
      <c r="C67" s="1" t="str">
        <f>TEXT(A67,"mmmm")</f>
        <v>January</v>
      </c>
      <c r="D67" s="1" t="str">
        <f>"Q"&amp;ROUNDUP(MONTH(A67)/3,0)</f>
        <v>Q1</v>
      </c>
      <c r="E67" s="1" t="str">
        <f>TEXT(A67,"yyyy")</f>
        <v>2024</v>
      </c>
      <c r="F67" t="s">
        <v>13</v>
      </c>
      <c r="G67" s="2">
        <v>3127</v>
      </c>
      <c r="H67" s="2">
        <v>3130</v>
      </c>
      <c r="I67" s="2">
        <v>3067.45</v>
      </c>
      <c r="J67" s="2">
        <v>3104.1</v>
      </c>
      <c r="K67" s="2">
        <v>3091.3</v>
      </c>
      <c r="L67" s="2">
        <v>3089.5</v>
      </c>
      <c r="M67" s="2">
        <v>3095.46</v>
      </c>
      <c r="N67" s="2">
        <v>3739.95</v>
      </c>
      <c r="O67" s="2">
        <v>1017.45</v>
      </c>
      <c r="P67" s="2">
        <v>1407007</v>
      </c>
      <c r="Q67" s="2">
        <v>151256</v>
      </c>
    </row>
    <row r="68" spans="1:17" x14ac:dyDescent="0.3">
      <c r="A68" s="1">
        <v>45307</v>
      </c>
      <c r="B68" s="1" t="str">
        <f>TEXT(A68,"dddd")</f>
        <v>Tuesday</v>
      </c>
      <c r="C68" s="1" t="str">
        <f>TEXT(A68,"mmmm")</f>
        <v>January</v>
      </c>
      <c r="D68" s="1" t="str">
        <f>"Q"&amp;ROUNDUP(MONTH(A68)/3,0)</f>
        <v>Q1</v>
      </c>
      <c r="E68" s="1" t="str">
        <f>TEXT(A68,"yyyy")</f>
        <v>2024</v>
      </c>
      <c r="F68" t="s">
        <v>13</v>
      </c>
      <c r="G68" s="2">
        <v>3095</v>
      </c>
      <c r="H68" s="2">
        <v>3104.5</v>
      </c>
      <c r="I68" s="2">
        <v>3035</v>
      </c>
      <c r="J68" s="2">
        <v>3089.5</v>
      </c>
      <c r="K68" s="2">
        <v>3059</v>
      </c>
      <c r="L68" s="2">
        <v>3056.5</v>
      </c>
      <c r="M68" s="2">
        <v>3066.6</v>
      </c>
      <c r="N68" s="2">
        <v>3739.95</v>
      </c>
      <c r="O68" s="2">
        <v>1017.45</v>
      </c>
      <c r="P68" s="2">
        <v>2515564</v>
      </c>
      <c r="Q68" s="2">
        <v>151256</v>
      </c>
    </row>
    <row r="69" spans="1:17" x14ac:dyDescent="0.3">
      <c r="A69" s="1">
        <v>45308</v>
      </c>
      <c r="B69" s="1" t="str">
        <f>TEXT(A69,"dddd")</f>
        <v>Wednesday</v>
      </c>
      <c r="C69" s="1" t="str">
        <f>TEXT(A69,"mmmm")</f>
        <v>January</v>
      </c>
      <c r="D69" s="1" t="str">
        <f>"Q"&amp;ROUNDUP(MONTH(A69)/3,0)</f>
        <v>Q1</v>
      </c>
      <c r="E69" s="1" t="str">
        <f>TEXT(A69,"yyyy")</f>
        <v>2024</v>
      </c>
      <c r="F69" t="s">
        <v>13</v>
      </c>
      <c r="G69" s="2">
        <v>3033</v>
      </c>
      <c r="H69" s="2">
        <v>3045</v>
      </c>
      <c r="I69" s="2">
        <v>2946.3</v>
      </c>
      <c r="J69" s="2">
        <v>3056.5</v>
      </c>
      <c r="K69" s="2">
        <v>2978</v>
      </c>
      <c r="L69" s="2">
        <v>2971.05</v>
      </c>
      <c r="M69" s="2">
        <v>2994.68</v>
      </c>
      <c r="N69" s="2">
        <v>3739.95</v>
      </c>
      <c r="O69" s="2">
        <v>1017.45</v>
      </c>
      <c r="P69" s="2">
        <v>2897218</v>
      </c>
      <c r="Q69" s="2">
        <v>151256</v>
      </c>
    </row>
    <row r="70" spans="1:17" x14ac:dyDescent="0.3">
      <c r="A70" s="1">
        <v>45309</v>
      </c>
      <c r="B70" s="1" t="str">
        <f>TEXT(A70,"dddd")</f>
        <v>Thursday</v>
      </c>
      <c r="C70" s="1" t="str">
        <f>TEXT(A70,"mmmm")</f>
        <v>January</v>
      </c>
      <c r="D70" s="1" t="str">
        <f>"Q"&amp;ROUNDUP(MONTH(A70)/3,0)</f>
        <v>Q1</v>
      </c>
      <c r="E70" s="1" t="str">
        <f>TEXT(A70,"yyyy")</f>
        <v>2024</v>
      </c>
      <c r="F70" t="s">
        <v>13</v>
      </c>
      <c r="G70" s="2">
        <v>2975.55</v>
      </c>
      <c r="H70" s="2">
        <v>2985</v>
      </c>
      <c r="I70" s="2">
        <v>2885.1</v>
      </c>
      <c r="J70" s="2">
        <v>2971.05</v>
      </c>
      <c r="K70" s="2">
        <v>2925.05</v>
      </c>
      <c r="L70" s="2">
        <v>2918.9</v>
      </c>
      <c r="M70" s="2">
        <v>2923.25</v>
      </c>
      <c r="N70" s="2">
        <v>3739.95</v>
      </c>
      <c r="O70" s="2">
        <v>1017.45</v>
      </c>
      <c r="P70" s="2">
        <v>2552342</v>
      </c>
      <c r="Q70" s="2">
        <v>151256</v>
      </c>
    </row>
    <row r="71" spans="1:17" x14ac:dyDescent="0.3">
      <c r="A71" s="1">
        <v>45310</v>
      </c>
      <c r="B71" s="1" t="str">
        <f>TEXT(A71,"dddd")</f>
        <v>Friday</v>
      </c>
      <c r="C71" s="1" t="str">
        <f>TEXT(A71,"mmmm")</f>
        <v>January</v>
      </c>
      <c r="D71" s="1" t="str">
        <f>"Q"&amp;ROUNDUP(MONTH(A71)/3,0)</f>
        <v>Q1</v>
      </c>
      <c r="E71" s="1" t="str">
        <f>TEXT(A71,"yyyy")</f>
        <v>2024</v>
      </c>
      <c r="F71" t="s">
        <v>13</v>
      </c>
      <c r="G71" s="2">
        <v>2945.35</v>
      </c>
      <c r="H71" s="2">
        <v>2949.45</v>
      </c>
      <c r="I71" s="2">
        <v>2903.05</v>
      </c>
      <c r="J71" s="2">
        <v>2918.9</v>
      </c>
      <c r="K71" s="2">
        <v>2915.3</v>
      </c>
      <c r="L71" s="2">
        <v>2915.65</v>
      </c>
      <c r="M71" s="2">
        <v>2926.36</v>
      </c>
      <c r="N71" s="2">
        <v>3739.95</v>
      </c>
      <c r="O71" s="2">
        <v>1017.45</v>
      </c>
      <c r="P71" s="2">
        <v>2014096</v>
      </c>
      <c r="Q71" s="2">
        <v>151256</v>
      </c>
    </row>
    <row r="72" spans="1:17" x14ac:dyDescent="0.3">
      <c r="A72" s="1">
        <v>45311</v>
      </c>
      <c r="B72" s="1" t="str">
        <f>TEXT(A72,"dddd")</f>
        <v>Saturday</v>
      </c>
      <c r="C72" s="1" t="str">
        <f>TEXT(A72,"mmmm")</f>
        <v>January</v>
      </c>
      <c r="D72" s="1" t="str">
        <f>"Q"&amp;ROUNDUP(MONTH(A72)/3,0)</f>
        <v>Q1</v>
      </c>
      <c r="E72" s="1" t="str">
        <f>TEXT(A72,"yyyy")</f>
        <v>2024</v>
      </c>
      <c r="F72" t="s">
        <v>13</v>
      </c>
      <c r="G72" s="2">
        <v>2930</v>
      </c>
      <c r="H72" s="2">
        <v>3015.85</v>
      </c>
      <c r="I72" s="2">
        <v>2890.5</v>
      </c>
      <c r="J72" s="2">
        <v>2915.65</v>
      </c>
      <c r="K72" s="2">
        <v>2987.85</v>
      </c>
      <c r="L72" s="2">
        <v>2987.9</v>
      </c>
      <c r="M72" s="2">
        <v>2939.51</v>
      </c>
      <c r="N72" s="2">
        <v>3739.95</v>
      </c>
      <c r="O72" s="2">
        <v>1017.45</v>
      </c>
      <c r="P72" s="2">
        <v>1878793</v>
      </c>
      <c r="Q72" s="2">
        <v>151256</v>
      </c>
    </row>
    <row r="73" spans="1:17" x14ac:dyDescent="0.3">
      <c r="A73" s="1">
        <v>45314</v>
      </c>
      <c r="B73" s="1" t="str">
        <f>TEXT(A73,"dddd")</f>
        <v>Tuesday</v>
      </c>
      <c r="C73" s="1" t="str">
        <f>TEXT(A73,"mmmm")</f>
        <v>January</v>
      </c>
      <c r="D73" s="1" t="str">
        <f>"Q"&amp;ROUNDUP(MONTH(A73)/3,0)</f>
        <v>Q1</v>
      </c>
      <c r="E73" s="1" t="str">
        <f>TEXT(A73,"yyyy")</f>
        <v>2024</v>
      </c>
      <c r="F73" t="s">
        <v>13</v>
      </c>
      <c r="G73" s="2">
        <v>3014.95</v>
      </c>
      <c r="H73" s="2">
        <v>3014.95</v>
      </c>
      <c r="I73" s="2">
        <v>2885.5</v>
      </c>
      <c r="J73" s="2">
        <v>2987.9</v>
      </c>
      <c r="K73" s="2">
        <v>2900.35</v>
      </c>
      <c r="L73" s="2">
        <v>2896.55</v>
      </c>
      <c r="M73" s="2">
        <v>2945.88</v>
      </c>
      <c r="N73" s="2">
        <v>3508</v>
      </c>
      <c r="O73" s="2">
        <v>1017.45</v>
      </c>
      <c r="P73" s="2">
        <v>1827002</v>
      </c>
      <c r="Q73" s="2">
        <v>151256</v>
      </c>
    </row>
    <row r="74" spans="1:17" x14ac:dyDescent="0.3">
      <c r="A74" s="1">
        <v>45315</v>
      </c>
      <c r="B74" s="1" t="str">
        <f>TEXT(A74,"dddd")</f>
        <v>Wednesday</v>
      </c>
      <c r="C74" s="1" t="str">
        <f>TEXT(A74,"mmmm")</f>
        <v>January</v>
      </c>
      <c r="D74" s="1" t="str">
        <f>"Q"&amp;ROUNDUP(MONTH(A74)/3,0)</f>
        <v>Q1</v>
      </c>
      <c r="E74" s="1" t="str">
        <f>TEXT(A74,"yyyy")</f>
        <v>2024</v>
      </c>
      <c r="F74" t="s">
        <v>13</v>
      </c>
      <c r="G74" s="2">
        <v>2901</v>
      </c>
      <c r="H74" s="2">
        <v>2929.1</v>
      </c>
      <c r="I74" s="2">
        <v>2871.25</v>
      </c>
      <c r="J74" s="2">
        <v>2896.55</v>
      </c>
      <c r="K74" s="2">
        <v>2908</v>
      </c>
      <c r="L74" s="2">
        <v>2903.45</v>
      </c>
      <c r="M74" s="2">
        <v>2891.63</v>
      </c>
      <c r="N74" s="2">
        <v>3508</v>
      </c>
      <c r="O74" s="2">
        <v>1017.45</v>
      </c>
      <c r="P74" s="2">
        <v>5807940</v>
      </c>
      <c r="Q74" s="2">
        <v>151256</v>
      </c>
    </row>
    <row r="75" spans="1:17" x14ac:dyDescent="0.3">
      <c r="A75" s="1">
        <v>45316</v>
      </c>
      <c r="B75" s="1" t="str">
        <f>TEXT(A75,"dddd")</f>
        <v>Thursday</v>
      </c>
      <c r="C75" s="1" t="str">
        <f>TEXT(A75,"mmmm")</f>
        <v>January</v>
      </c>
      <c r="D75" s="1" t="str">
        <f>"Q"&amp;ROUNDUP(MONTH(A75)/3,0)</f>
        <v>Q1</v>
      </c>
      <c r="E75" s="1" t="str">
        <f>TEXT(A75,"yyyy")</f>
        <v>2024</v>
      </c>
      <c r="F75" t="s">
        <v>13</v>
      </c>
      <c r="G75" s="2">
        <v>2903.45</v>
      </c>
      <c r="H75" s="2">
        <v>2926.35</v>
      </c>
      <c r="I75" s="2">
        <v>2804.4</v>
      </c>
      <c r="J75" s="2">
        <v>2903.45</v>
      </c>
      <c r="K75" s="2">
        <v>2903</v>
      </c>
      <c r="L75" s="2">
        <v>2893.6</v>
      </c>
      <c r="M75" s="2">
        <v>2860.14</v>
      </c>
      <c r="N75" s="2">
        <v>3508</v>
      </c>
      <c r="O75" s="2">
        <v>1017.45</v>
      </c>
      <c r="P75" s="2">
        <v>2601969</v>
      </c>
      <c r="Q75" s="2">
        <v>151256</v>
      </c>
    </row>
    <row r="76" spans="1:17" x14ac:dyDescent="0.3">
      <c r="A76" s="1">
        <v>45320</v>
      </c>
      <c r="B76" s="1" t="str">
        <f>TEXT(A76,"dddd")</f>
        <v>Monday</v>
      </c>
      <c r="C76" s="1" t="str">
        <f>TEXT(A76,"mmmm")</f>
        <v>January</v>
      </c>
      <c r="D76" s="1" t="str">
        <f>"Q"&amp;ROUNDUP(MONTH(A76)/3,0)</f>
        <v>Q1</v>
      </c>
      <c r="E76" s="1" t="str">
        <f>TEXT(A76,"yyyy")</f>
        <v>2024</v>
      </c>
      <c r="F76" t="s">
        <v>13</v>
      </c>
      <c r="G76" s="2">
        <v>2929</v>
      </c>
      <c r="H76" s="2">
        <v>3092.7</v>
      </c>
      <c r="I76" s="2">
        <v>2923.05</v>
      </c>
      <c r="J76" s="2">
        <v>2893.6</v>
      </c>
      <c r="K76" s="2">
        <v>3061</v>
      </c>
      <c r="L76" s="2">
        <v>3064.65</v>
      </c>
      <c r="M76" s="2">
        <v>3044.27</v>
      </c>
      <c r="N76" s="2">
        <v>3199</v>
      </c>
      <c r="O76" s="2">
        <v>1017.45</v>
      </c>
      <c r="P76" s="2">
        <v>4402976</v>
      </c>
      <c r="Q76" s="2">
        <v>151256</v>
      </c>
    </row>
    <row r="77" spans="1:17" x14ac:dyDescent="0.3">
      <c r="A77" s="1">
        <v>45321</v>
      </c>
      <c r="B77" s="1" t="str">
        <f>TEXT(A77,"dddd")</f>
        <v>Tuesday</v>
      </c>
      <c r="C77" s="1" t="str">
        <f>TEXT(A77,"mmmm")</f>
        <v>January</v>
      </c>
      <c r="D77" s="1" t="str">
        <f>"Q"&amp;ROUNDUP(MONTH(A77)/3,0)</f>
        <v>Q1</v>
      </c>
      <c r="E77" s="1" t="str">
        <f>TEXT(A77,"yyyy")</f>
        <v>2024</v>
      </c>
      <c r="F77" t="s">
        <v>13</v>
      </c>
      <c r="G77" s="2">
        <v>3081</v>
      </c>
      <c r="H77" s="2">
        <v>3129.9</v>
      </c>
      <c r="I77" s="2">
        <v>3020.9</v>
      </c>
      <c r="J77" s="2">
        <v>3064.65</v>
      </c>
      <c r="K77" s="2">
        <v>3096</v>
      </c>
      <c r="L77" s="2">
        <v>3091.1</v>
      </c>
      <c r="M77" s="2">
        <v>3090.43</v>
      </c>
      <c r="N77" s="2">
        <v>3199</v>
      </c>
      <c r="O77" s="2">
        <v>1017.45</v>
      </c>
      <c r="P77" s="2">
        <v>3115506</v>
      </c>
      <c r="Q77" s="2">
        <v>151256</v>
      </c>
    </row>
    <row r="78" spans="1:17" x14ac:dyDescent="0.3">
      <c r="A78" s="1">
        <v>45322</v>
      </c>
      <c r="B78" s="1" t="str">
        <f>TEXT(A78,"dddd")</f>
        <v>Wednesday</v>
      </c>
      <c r="C78" s="1" t="str">
        <f>TEXT(A78,"mmmm")</f>
        <v>January</v>
      </c>
      <c r="D78" s="1" t="str">
        <f>"Q"&amp;ROUNDUP(MONTH(A78)/3,0)</f>
        <v>Q1</v>
      </c>
      <c r="E78" s="1" t="str">
        <f>TEXT(A78,"yyyy")</f>
        <v>2024</v>
      </c>
      <c r="F78" t="s">
        <v>13</v>
      </c>
      <c r="G78" s="2">
        <v>3092.75</v>
      </c>
      <c r="H78" s="2">
        <v>3151.7</v>
      </c>
      <c r="I78" s="2">
        <v>3072.4</v>
      </c>
      <c r="J78" s="2">
        <v>3091.1</v>
      </c>
      <c r="K78" s="2">
        <v>3138</v>
      </c>
      <c r="L78" s="2">
        <v>3142</v>
      </c>
      <c r="M78" s="2">
        <v>3116.94</v>
      </c>
      <c r="N78" s="2">
        <v>3199</v>
      </c>
      <c r="O78" s="2">
        <v>1017.45</v>
      </c>
      <c r="P78" s="2">
        <v>2671051</v>
      </c>
      <c r="Q78" s="2">
        <v>151256</v>
      </c>
    </row>
    <row r="79" spans="1:17" x14ac:dyDescent="0.3">
      <c r="A79" s="1">
        <v>45323</v>
      </c>
      <c r="B79" s="1" t="str">
        <f>TEXT(A79,"dddd")</f>
        <v>Thursday</v>
      </c>
      <c r="C79" s="1" t="str">
        <f>TEXT(A79,"mmmm")</f>
        <v>February</v>
      </c>
      <c r="D79" s="1" t="str">
        <f>"Q"&amp;ROUNDUP(MONTH(A79)/3,0)</f>
        <v>Q1</v>
      </c>
      <c r="E79" s="1" t="str">
        <f>TEXT(A79,"yyyy")</f>
        <v>2024</v>
      </c>
      <c r="F79" t="s">
        <v>13</v>
      </c>
      <c r="G79" s="2">
        <v>3156.9</v>
      </c>
      <c r="H79" s="2">
        <v>3236.95</v>
      </c>
      <c r="I79" s="2">
        <v>3083.05</v>
      </c>
      <c r="J79" s="2">
        <v>3142</v>
      </c>
      <c r="K79" s="2">
        <v>3154.85</v>
      </c>
      <c r="L79" s="2">
        <v>3153.5</v>
      </c>
      <c r="M79" s="2">
        <v>3162.65</v>
      </c>
      <c r="N79" s="2">
        <v>3236.95</v>
      </c>
      <c r="O79" s="2">
        <v>1017.45</v>
      </c>
      <c r="P79" s="2">
        <v>4686595</v>
      </c>
      <c r="Q79" s="2">
        <v>151256</v>
      </c>
    </row>
    <row r="80" spans="1:17" x14ac:dyDescent="0.3">
      <c r="A80" s="1">
        <v>45324</v>
      </c>
      <c r="B80" s="1" t="str">
        <f>TEXT(A80,"dddd")</f>
        <v>Friday</v>
      </c>
      <c r="C80" s="1" t="str">
        <f>TEXT(A80,"mmmm")</f>
        <v>February</v>
      </c>
      <c r="D80" s="1" t="str">
        <f>"Q"&amp;ROUNDUP(MONTH(A80)/3,0)</f>
        <v>Q1</v>
      </c>
      <c r="E80" s="1" t="str">
        <f>TEXT(A80,"yyyy")</f>
        <v>2024</v>
      </c>
      <c r="F80" t="s">
        <v>13</v>
      </c>
      <c r="G80" s="2">
        <v>3184.95</v>
      </c>
      <c r="H80" s="2">
        <v>3208.5</v>
      </c>
      <c r="I80" s="2">
        <v>3140</v>
      </c>
      <c r="J80" s="2">
        <v>3153.5</v>
      </c>
      <c r="K80" s="2">
        <v>3157</v>
      </c>
      <c r="L80" s="2">
        <v>3157.45</v>
      </c>
      <c r="M80" s="2">
        <v>3173.2</v>
      </c>
      <c r="N80" s="2">
        <v>3236.95</v>
      </c>
      <c r="O80" s="2">
        <v>1017.45</v>
      </c>
      <c r="P80" s="2">
        <v>2708695</v>
      </c>
      <c r="Q80" s="2">
        <v>151256</v>
      </c>
    </row>
    <row r="81" spans="1:17" x14ac:dyDescent="0.3">
      <c r="A81" s="1">
        <v>45327</v>
      </c>
      <c r="B81" s="1" t="str">
        <f>TEXT(A81,"dddd")</f>
        <v>Monday</v>
      </c>
      <c r="C81" s="1" t="str">
        <f>TEXT(A81,"mmmm")</f>
        <v>February</v>
      </c>
      <c r="D81" s="1" t="str">
        <f>"Q"&amp;ROUNDUP(MONTH(A81)/3,0)</f>
        <v>Q1</v>
      </c>
      <c r="E81" s="1" t="str">
        <f>TEXT(A81,"yyyy")</f>
        <v>2024</v>
      </c>
      <c r="F81" t="s">
        <v>13</v>
      </c>
      <c r="G81" s="2">
        <v>3170</v>
      </c>
      <c r="H81" s="2">
        <v>3229.4</v>
      </c>
      <c r="I81" s="2">
        <v>3151.45</v>
      </c>
      <c r="J81" s="2">
        <v>3157.45</v>
      </c>
      <c r="K81" s="2">
        <v>3175.25</v>
      </c>
      <c r="L81" s="2">
        <v>3173.45</v>
      </c>
      <c r="M81" s="2">
        <v>3192.8</v>
      </c>
      <c r="N81" s="2">
        <v>3236.95</v>
      </c>
      <c r="O81" s="2">
        <v>1103.75</v>
      </c>
      <c r="P81" s="2">
        <v>2191195</v>
      </c>
      <c r="Q81" s="2">
        <v>151256</v>
      </c>
    </row>
    <row r="82" spans="1:17" x14ac:dyDescent="0.3">
      <c r="A82" s="1">
        <v>45328</v>
      </c>
      <c r="B82" s="1" t="str">
        <f>TEXT(A82,"dddd")</f>
        <v>Tuesday</v>
      </c>
      <c r="C82" s="1" t="str">
        <f>TEXT(A82,"mmmm")</f>
        <v>February</v>
      </c>
      <c r="D82" s="1" t="str">
        <f>"Q"&amp;ROUNDUP(MONTH(A82)/3,0)</f>
        <v>Q1</v>
      </c>
      <c r="E82" s="1" t="str">
        <f>TEXT(A82,"yyyy")</f>
        <v>2024</v>
      </c>
      <c r="F82" t="s">
        <v>13</v>
      </c>
      <c r="G82" s="2">
        <v>3183.9</v>
      </c>
      <c r="H82" s="2">
        <v>3228.2</v>
      </c>
      <c r="I82" s="2">
        <v>3160</v>
      </c>
      <c r="J82" s="2">
        <v>3173.45</v>
      </c>
      <c r="K82" s="2">
        <v>3200.65</v>
      </c>
      <c r="L82" s="2">
        <v>3203.75</v>
      </c>
      <c r="M82" s="2">
        <v>3197.81</v>
      </c>
      <c r="N82" s="2">
        <v>3236.95</v>
      </c>
      <c r="O82" s="2">
        <v>1103.75</v>
      </c>
      <c r="P82" s="2">
        <v>2078891</v>
      </c>
      <c r="Q82" s="2">
        <v>151256</v>
      </c>
    </row>
    <row r="83" spans="1:17" x14ac:dyDescent="0.3">
      <c r="A83" s="1">
        <v>45329</v>
      </c>
      <c r="B83" s="1" t="str">
        <f>TEXT(A83,"dddd")</f>
        <v>Wednesday</v>
      </c>
      <c r="C83" s="1" t="str">
        <f>TEXT(A83,"mmmm")</f>
        <v>February</v>
      </c>
      <c r="D83" s="1" t="str">
        <f>"Q"&amp;ROUNDUP(MONTH(A83)/3,0)</f>
        <v>Q1</v>
      </c>
      <c r="E83" s="1" t="str">
        <f>TEXT(A83,"yyyy")</f>
        <v>2024</v>
      </c>
      <c r="F83" t="s">
        <v>13</v>
      </c>
      <c r="G83" s="2">
        <v>3220.05</v>
      </c>
      <c r="H83" s="2">
        <v>3277.95</v>
      </c>
      <c r="I83" s="2">
        <v>3210</v>
      </c>
      <c r="J83" s="2">
        <v>3203.75</v>
      </c>
      <c r="K83" s="2">
        <v>3233</v>
      </c>
      <c r="L83" s="2">
        <v>3229.85</v>
      </c>
      <c r="M83" s="2">
        <v>3242.51</v>
      </c>
      <c r="N83" s="2">
        <v>3277.95</v>
      </c>
      <c r="O83" s="2">
        <v>1103.75</v>
      </c>
      <c r="P83" s="2">
        <v>2095911</v>
      </c>
      <c r="Q83" s="2">
        <v>151256</v>
      </c>
    </row>
    <row r="84" spans="1:17" x14ac:dyDescent="0.3">
      <c r="A84" s="1">
        <v>45330</v>
      </c>
      <c r="B84" s="1" t="str">
        <f>TEXT(A84,"dddd")</f>
        <v>Thursday</v>
      </c>
      <c r="C84" s="1" t="str">
        <f>TEXT(A84,"mmmm")</f>
        <v>February</v>
      </c>
      <c r="D84" s="1" t="str">
        <f>"Q"&amp;ROUNDUP(MONTH(A84)/3,0)</f>
        <v>Q1</v>
      </c>
      <c r="E84" s="1" t="str">
        <f>TEXT(A84,"yyyy")</f>
        <v>2024</v>
      </c>
      <c r="F84" t="s">
        <v>13</v>
      </c>
      <c r="G84" s="2">
        <v>3245.6</v>
      </c>
      <c r="H84" s="2">
        <v>3245.6</v>
      </c>
      <c r="I84" s="2">
        <v>3146.1</v>
      </c>
      <c r="J84" s="2">
        <v>3229.85</v>
      </c>
      <c r="K84" s="2">
        <v>3179</v>
      </c>
      <c r="L84" s="2">
        <v>3168.6</v>
      </c>
      <c r="M84" s="2">
        <v>3186.56</v>
      </c>
      <c r="N84" s="2">
        <v>3277.95</v>
      </c>
      <c r="O84" s="2">
        <v>1103.75</v>
      </c>
      <c r="P84" s="2">
        <v>1679004</v>
      </c>
      <c r="Q84" s="2">
        <v>151256</v>
      </c>
    </row>
    <row r="85" spans="1:17" x14ac:dyDescent="0.3">
      <c r="A85" s="1">
        <v>45331</v>
      </c>
      <c r="B85" s="1" t="str">
        <f>TEXT(A85,"dddd")</f>
        <v>Friday</v>
      </c>
      <c r="C85" s="1" t="str">
        <f>TEXT(A85,"mmmm")</f>
        <v>February</v>
      </c>
      <c r="D85" s="1" t="str">
        <f>"Q"&amp;ROUNDUP(MONTH(A85)/3,0)</f>
        <v>Q1</v>
      </c>
      <c r="E85" s="1" t="str">
        <f>TEXT(A85,"yyyy")</f>
        <v>2024</v>
      </c>
      <c r="F85" t="s">
        <v>13</v>
      </c>
      <c r="G85" s="2">
        <v>3184.45</v>
      </c>
      <c r="H85" s="2">
        <v>3224.95</v>
      </c>
      <c r="I85" s="2">
        <v>3121.2</v>
      </c>
      <c r="J85" s="2">
        <v>3168.6</v>
      </c>
      <c r="K85" s="2">
        <v>3215</v>
      </c>
      <c r="L85" s="2">
        <v>3215.2</v>
      </c>
      <c r="M85" s="2">
        <v>3182.28</v>
      </c>
      <c r="N85" s="2">
        <v>3277.95</v>
      </c>
      <c r="O85" s="2">
        <v>1103.75</v>
      </c>
      <c r="P85" s="2">
        <v>1572789</v>
      </c>
      <c r="Q85" s="2">
        <v>151256</v>
      </c>
    </row>
    <row r="86" spans="1:17" x14ac:dyDescent="0.3">
      <c r="A86" s="1">
        <v>45334</v>
      </c>
      <c r="B86" s="1" t="str">
        <f>TEXT(A86,"dddd")</f>
        <v>Monday</v>
      </c>
      <c r="C86" s="1" t="str">
        <f>TEXT(A86,"mmmm")</f>
        <v>February</v>
      </c>
      <c r="D86" s="1" t="str">
        <f>"Q"&amp;ROUNDUP(MONTH(A86)/3,0)</f>
        <v>Q1</v>
      </c>
      <c r="E86" s="1" t="str">
        <f>TEXT(A86,"yyyy")</f>
        <v>2024</v>
      </c>
      <c r="F86" t="s">
        <v>13</v>
      </c>
      <c r="G86" s="2">
        <v>3229</v>
      </c>
      <c r="H86" s="2">
        <v>3241.95</v>
      </c>
      <c r="I86" s="2">
        <v>3160</v>
      </c>
      <c r="J86" s="2">
        <v>3215.2</v>
      </c>
      <c r="K86" s="2">
        <v>3166</v>
      </c>
      <c r="L86" s="2">
        <v>3169.75</v>
      </c>
      <c r="M86" s="2">
        <v>3193.32</v>
      </c>
      <c r="N86" s="2">
        <v>3277.95</v>
      </c>
      <c r="O86" s="2">
        <v>1103.75</v>
      </c>
      <c r="P86" s="2">
        <v>1083138</v>
      </c>
      <c r="Q86" s="2">
        <v>151256</v>
      </c>
    </row>
    <row r="87" spans="1:17" x14ac:dyDescent="0.3">
      <c r="A87" s="1">
        <v>45335</v>
      </c>
      <c r="B87" s="1" t="str">
        <f>TEXT(A87,"dddd")</f>
        <v>Tuesday</v>
      </c>
      <c r="C87" s="1" t="str">
        <f>TEXT(A87,"mmmm")</f>
        <v>February</v>
      </c>
      <c r="D87" s="1" t="str">
        <f>"Q"&amp;ROUNDUP(MONTH(A87)/3,0)</f>
        <v>Q1</v>
      </c>
      <c r="E87" s="1" t="str">
        <f>TEXT(A87,"yyyy")</f>
        <v>2024</v>
      </c>
      <c r="F87" t="s">
        <v>13</v>
      </c>
      <c r="G87" s="2">
        <v>3180</v>
      </c>
      <c r="H87" s="2">
        <v>3194</v>
      </c>
      <c r="I87" s="2">
        <v>3092.05</v>
      </c>
      <c r="J87" s="2">
        <v>3169.75</v>
      </c>
      <c r="K87" s="2">
        <v>3180</v>
      </c>
      <c r="L87" s="2">
        <v>3178.45</v>
      </c>
      <c r="M87" s="2">
        <v>3142.91</v>
      </c>
      <c r="N87" s="2">
        <v>3277.95</v>
      </c>
      <c r="O87" s="2">
        <v>1103.75</v>
      </c>
      <c r="P87" s="2">
        <v>1225207</v>
      </c>
      <c r="Q87" s="2">
        <v>151256</v>
      </c>
    </row>
    <row r="88" spans="1:17" x14ac:dyDescent="0.3">
      <c r="A88" s="1">
        <v>45336</v>
      </c>
      <c r="B88" s="1" t="str">
        <f>TEXT(A88,"dddd")</f>
        <v>Wednesday</v>
      </c>
      <c r="C88" s="1" t="str">
        <f>TEXT(A88,"mmmm")</f>
        <v>February</v>
      </c>
      <c r="D88" s="1" t="str">
        <f>"Q"&amp;ROUNDUP(MONTH(A88)/3,0)</f>
        <v>Q1</v>
      </c>
      <c r="E88" s="1" t="str">
        <f>TEXT(A88,"yyyy")</f>
        <v>2024</v>
      </c>
      <c r="F88" t="s">
        <v>13</v>
      </c>
      <c r="G88" s="2">
        <v>3184</v>
      </c>
      <c r="H88" s="2">
        <v>3255.25</v>
      </c>
      <c r="I88" s="2">
        <v>3169.85</v>
      </c>
      <c r="J88" s="2">
        <v>3178.45</v>
      </c>
      <c r="K88" s="2">
        <v>3202</v>
      </c>
      <c r="L88" s="2">
        <v>3207.2</v>
      </c>
      <c r="M88" s="2">
        <v>3212.71</v>
      </c>
      <c r="N88" s="2">
        <v>3277.95</v>
      </c>
      <c r="O88" s="2">
        <v>1103.75</v>
      </c>
      <c r="P88" s="2">
        <v>1741264</v>
      </c>
      <c r="Q88" s="2">
        <v>151256</v>
      </c>
    </row>
    <row r="89" spans="1:17" x14ac:dyDescent="0.3">
      <c r="A89" s="1">
        <v>45337</v>
      </c>
      <c r="B89" s="1" t="str">
        <f>TEXT(A89,"dddd")</f>
        <v>Thursday</v>
      </c>
      <c r="C89" s="1" t="str">
        <f>TEXT(A89,"mmmm")</f>
        <v>February</v>
      </c>
      <c r="D89" s="1" t="str">
        <f>"Q"&amp;ROUNDUP(MONTH(A89)/3,0)</f>
        <v>Q1</v>
      </c>
      <c r="E89" s="1" t="str">
        <f>TEXT(A89,"yyyy")</f>
        <v>2024</v>
      </c>
      <c r="F89" t="s">
        <v>13</v>
      </c>
      <c r="G89" s="2">
        <v>3219.85</v>
      </c>
      <c r="H89" s="2">
        <v>3252.75</v>
      </c>
      <c r="I89" s="2">
        <v>3184.05</v>
      </c>
      <c r="J89" s="2">
        <v>3207.2</v>
      </c>
      <c r="K89" s="2">
        <v>3190.4</v>
      </c>
      <c r="L89" s="2">
        <v>3193.8</v>
      </c>
      <c r="M89" s="2">
        <v>3214.66</v>
      </c>
      <c r="N89" s="2">
        <v>3277.95</v>
      </c>
      <c r="O89" s="2">
        <v>1103.75</v>
      </c>
      <c r="P89" s="2">
        <v>2035204</v>
      </c>
      <c r="Q89" s="2">
        <v>151256</v>
      </c>
    </row>
    <row r="90" spans="1:17" x14ac:dyDescent="0.3">
      <c r="A90" s="1">
        <v>45338</v>
      </c>
      <c r="B90" s="1" t="str">
        <f>TEXT(A90,"dddd")</f>
        <v>Friday</v>
      </c>
      <c r="C90" s="1" t="str">
        <f>TEXT(A90,"mmmm")</f>
        <v>February</v>
      </c>
      <c r="D90" s="1" t="str">
        <f>"Q"&amp;ROUNDUP(MONTH(A90)/3,0)</f>
        <v>Q1</v>
      </c>
      <c r="E90" s="1" t="str">
        <f>TEXT(A90,"yyyy")</f>
        <v>2024</v>
      </c>
      <c r="F90" t="s">
        <v>13</v>
      </c>
      <c r="G90" s="2">
        <v>3214</v>
      </c>
      <c r="H90" s="2">
        <v>3252.3</v>
      </c>
      <c r="I90" s="2">
        <v>3192.65</v>
      </c>
      <c r="J90" s="2">
        <v>3193.8</v>
      </c>
      <c r="K90" s="2">
        <v>3223.2</v>
      </c>
      <c r="L90" s="2">
        <v>3223.6</v>
      </c>
      <c r="M90" s="2">
        <v>3221.58</v>
      </c>
      <c r="N90" s="2">
        <v>3277.95</v>
      </c>
      <c r="O90" s="2">
        <v>1103.75</v>
      </c>
      <c r="P90" s="2">
        <v>2193673</v>
      </c>
      <c r="Q90" s="2">
        <v>151256</v>
      </c>
    </row>
    <row r="91" spans="1:17" x14ac:dyDescent="0.3">
      <c r="A91" s="1">
        <v>45341</v>
      </c>
      <c r="B91" s="1" t="str">
        <f>TEXT(A91,"dddd")</f>
        <v>Monday</v>
      </c>
      <c r="C91" s="1" t="str">
        <f>TEXT(A91,"mmmm")</f>
        <v>February</v>
      </c>
      <c r="D91" s="1" t="str">
        <f>"Q"&amp;ROUNDUP(MONTH(A91)/3,0)</f>
        <v>Q1</v>
      </c>
      <c r="E91" s="1" t="str">
        <f>TEXT(A91,"yyyy")</f>
        <v>2024</v>
      </c>
      <c r="F91" t="s">
        <v>13</v>
      </c>
      <c r="G91" s="2">
        <v>3240</v>
      </c>
      <c r="H91" s="2">
        <v>3308.6</v>
      </c>
      <c r="I91" s="2">
        <v>3235.8</v>
      </c>
      <c r="J91" s="2">
        <v>3223.6</v>
      </c>
      <c r="K91" s="2">
        <v>3265</v>
      </c>
      <c r="L91" s="2">
        <v>3258.8</v>
      </c>
      <c r="M91" s="2">
        <v>3275.82</v>
      </c>
      <c r="N91" s="2">
        <v>3308.6</v>
      </c>
      <c r="O91" s="2">
        <v>1103.75</v>
      </c>
      <c r="P91" s="2">
        <v>1779444</v>
      </c>
      <c r="Q91" s="2">
        <v>151256</v>
      </c>
    </row>
    <row r="92" spans="1:17" x14ac:dyDescent="0.3">
      <c r="A92" s="1">
        <v>45342</v>
      </c>
      <c r="B92" s="1" t="str">
        <f>TEXT(A92,"dddd")</f>
        <v>Tuesday</v>
      </c>
      <c r="C92" s="1" t="str">
        <f>TEXT(A92,"mmmm")</f>
        <v>February</v>
      </c>
      <c r="D92" s="1" t="str">
        <f>"Q"&amp;ROUNDUP(MONTH(A92)/3,0)</f>
        <v>Q1</v>
      </c>
      <c r="E92" s="1" t="str">
        <f>TEXT(A92,"yyyy")</f>
        <v>2024</v>
      </c>
      <c r="F92" t="s">
        <v>13</v>
      </c>
      <c r="G92" s="2">
        <v>3267</v>
      </c>
      <c r="H92" s="2">
        <v>3269.8</v>
      </c>
      <c r="I92" s="2">
        <v>3210.15</v>
      </c>
      <c r="J92" s="2">
        <v>3258.8</v>
      </c>
      <c r="K92" s="2">
        <v>3235</v>
      </c>
      <c r="L92" s="2">
        <v>3228.6</v>
      </c>
      <c r="M92" s="2">
        <v>3238.23</v>
      </c>
      <c r="N92" s="2">
        <v>3308.6</v>
      </c>
      <c r="O92" s="2">
        <v>1103.75</v>
      </c>
      <c r="P92" s="2">
        <v>1467630</v>
      </c>
      <c r="Q92" s="2">
        <v>151256</v>
      </c>
    </row>
    <row r="93" spans="1:17" x14ac:dyDescent="0.3">
      <c r="A93" s="1">
        <v>45343</v>
      </c>
      <c r="B93" s="1" t="str">
        <f>TEXT(A93,"dddd")</f>
        <v>Wednesday</v>
      </c>
      <c r="C93" s="1" t="str">
        <f>TEXT(A93,"mmmm")</f>
        <v>February</v>
      </c>
      <c r="D93" s="1" t="str">
        <f>"Q"&amp;ROUNDUP(MONTH(A93)/3,0)</f>
        <v>Q1</v>
      </c>
      <c r="E93" s="1" t="str">
        <f>TEXT(A93,"yyyy")</f>
        <v>2024</v>
      </c>
      <c r="F93" t="s">
        <v>13</v>
      </c>
      <c r="G93" s="2">
        <v>3238</v>
      </c>
      <c r="H93" s="2">
        <v>3300</v>
      </c>
      <c r="I93" s="2">
        <v>3205</v>
      </c>
      <c r="J93" s="2">
        <v>3228.6</v>
      </c>
      <c r="K93" s="2">
        <v>3226.95</v>
      </c>
      <c r="L93" s="2">
        <v>3223.2</v>
      </c>
      <c r="M93" s="2">
        <v>3258</v>
      </c>
      <c r="N93" s="2">
        <v>3308.6</v>
      </c>
      <c r="O93" s="2">
        <v>1103.75</v>
      </c>
      <c r="P93" s="2">
        <v>1657021</v>
      </c>
      <c r="Q93" s="2">
        <v>151256</v>
      </c>
    </row>
    <row r="94" spans="1:17" x14ac:dyDescent="0.3">
      <c r="A94" s="1">
        <v>45344</v>
      </c>
      <c r="B94" s="1" t="str">
        <f>TEXT(A94,"dddd")</f>
        <v>Thursday</v>
      </c>
      <c r="C94" s="1" t="str">
        <f>TEXT(A94,"mmmm")</f>
        <v>February</v>
      </c>
      <c r="D94" s="1" t="str">
        <f>"Q"&amp;ROUNDUP(MONTH(A94)/3,0)</f>
        <v>Q1</v>
      </c>
      <c r="E94" s="1" t="str">
        <f>TEXT(A94,"yyyy")</f>
        <v>2024</v>
      </c>
      <c r="F94" t="s">
        <v>13</v>
      </c>
      <c r="G94" s="2">
        <v>3239</v>
      </c>
      <c r="H94" s="2">
        <v>3274</v>
      </c>
      <c r="I94" s="2">
        <v>3210.5</v>
      </c>
      <c r="J94" s="2">
        <v>3223.2</v>
      </c>
      <c r="K94" s="2">
        <v>3261.3</v>
      </c>
      <c r="L94" s="2">
        <v>3263.05</v>
      </c>
      <c r="M94" s="2">
        <v>3236.68</v>
      </c>
      <c r="N94" s="2">
        <v>3308.6</v>
      </c>
      <c r="O94" s="2">
        <v>1103.75</v>
      </c>
      <c r="P94" s="2">
        <v>1138722</v>
      </c>
      <c r="Q94" s="2">
        <v>151256</v>
      </c>
    </row>
    <row r="95" spans="1:17" x14ac:dyDescent="0.3">
      <c r="A95" s="1">
        <v>45345</v>
      </c>
      <c r="B95" s="1" t="str">
        <f>TEXT(A95,"dddd")</f>
        <v>Friday</v>
      </c>
      <c r="C95" s="1" t="str">
        <f>TEXT(A95,"mmmm")</f>
        <v>February</v>
      </c>
      <c r="D95" s="1" t="str">
        <f>"Q"&amp;ROUNDUP(MONTH(A95)/3,0)</f>
        <v>Q1</v>
      </c>
      <c r="E95" s="1" t="str">
        <f>TEXT(A95,"yyyy")</f>
        <v>2024</v>
      </c>
      <c r="F95" t="s">
        <v>13</v>
      </c>
      <c r="G95" s="2">
        <v>3263.05</v>
      </c>
      <c r="H95" s="2">
        <v>3319.95</v>
      </c>
      <c r="I95" s="2">
        <v>3225.1</v>
      </c>
      <c r="J95" s="2">
        <v>3263.05</v>
      </c>
      <c r="K95" s="2">
        <v>3273.05</v>
      </c>
      <c r="L95" s="2">
        <v>3273.3</v>
      </c>
      <c r="M95" s="2">
        <v>3281.89</v>
      </c>
      <c r="N95" s="2">
        <v>3319.95</v>
      </c>
      <c r="O95" s="2">
        <v>1103.75</v>
      </c>
      <c r="P95" s="2">
        <v>1975035</v>
      </c>
      <c r="Q95" s="2">
        <v>151256</v>
      </c>
    </row>
    <row r="96" spans="1:17" x14ac:dyDescent="0.3">
      <c r="A96" s="1">
        <v>45348</v>
      </c>
      <c r="B96" s="1" t="str">
        <f>TEXT(A96,"dddd")</f>
        <v>Monday</v>
      </c>
      <c r="C96" s="1" t="str">
        <f>TEXT(A96,"mmmm")</f>
        <v>February</v>
      </c>
      <c r="D96" s="1" t="str">
        <f>"Q"&amp;ROUNDUP(MONTH(A96)/3,0)</f>
        <v>Q1</v>
      </c>
      <c r="E96" s="1" t="str">
        <f>TEXT(A96,"yyyy")</f>
        <v>2024</v>
      </c>
      <c r="F96" t="s">
        <v>13</v>
      </c>
      <c r="G96" s="2">
        <v>3272</v>
      </c>
      <c r="H96" s="2">
        <v>3344</v>
      </c>
      <c r="I96" s="2">
        <v>3263</v>
      </c>
      <c r="J96" s="2">
        <v>3273.3</v>
      </c>
      <c r="K96" s="2">
        <v>3328</v>
      </c>
      <c r="L96" s="2">
        <v>3327.75</v>
      </c>
      <c r="M96" s="2">
        <v>3318.26</v>
      </c>
      <c r="N96" s="2">
        <v>3344</v>
      </c>
      <c r="O96" s="2">
        <v>1103.75</v>
      </c>
      <c r="P96" s="2">
        <v>1695378</v>
      </c>
      <c r="Q96" s="2">
        <v>151256</v>
      </c>
    </row>
    <row r="97" spans="1:17" x14ac:dyDescent="0.3">
      <c r="A97" s="1">
        <v>45349</v>
      </c>
      <c r="B97" s="1" t="str">
        <f>TEXT(A97,"dddd")</f>
        <v>Tuesday</v>
      </c>
      <c r="C97" s="1" t="str">
        <f>TEXT(A97,"mmmm")</f>
        <v>February</v>
      </c>
      <c r="D97" s="1" t="str">
        <f>"Q"&amp;ROUNDUP(MONTH(A97)/3,0)</f>
        <v>Q1</v>
      </c>
      <c r="E97" s="1" t="str">
        <f>TEXT(A97,"yyyy")</f>
        <v>2024</v>
      </c>
      <c r="F97" t="s">
        <v>13</v>
      </c>
      <c r="G97" s="2">
        <v>3339</v>
      </c>
      <c r="H97" s="2">
        <v>3340</v>
      </c>
      <c r="I97" s="2">
        <v>3273</v>
      </c>
      <c r="J97" s="2">
        <v>3327.75</v>
      </c>
      <c r="K97" s="2">
        <v>3296</v>
      </c>
      <c r="L97" s="2">
        <v>3302.3</v>
      </c>
      <c r="M97" s="2">
        <v>3306.04</v>
      </c>
      <c r="N97" s="2">
        <v>3344</v>
      </c>
      <c r="O97" s="2">
        <v>1103.75</v>
      </c>
      <c r="P97" s="2">
        <v>1125570</v>
      </c>
      <c r="Q97" s="2">
        <v>151256</v>
      </c>
    </row>
    <row r="98" spans="1:17" x14ac:dyDescent="0.3">
      <c r="A98" s="1">
        <v>45350</v>
      </c>
      <c r="B98" s="1" t="str">
        <f>TEXT(A98,"dddd")</f>
        <v>Wednesday</v>
      </c>
      <c r="C98" s="1" t="str">
        <f>TEXT(A98,"mmmm")</f>
        <v>February</v>
      </c>
      <c r="D98" s="1" t="str">
        <f>"Q"&amp;ROUNDUP(MONTH(A98)/3,0)</f>
        <v>Q1</v>
      </c>
      <c r="E98" s="1" t="str">
        <f>TEXT(A98,"yyyy")</f>
        <v>2024</v>
      </c>
      <c r="F98" t="s">
        <v>13</v>
      </c>
      <c r="G98" s="2">
        <v>3309.2</v>
      </c>
      <c r="H98" s="2">
        <v>3318.8</v>
      </c>
      <c r="I98" s="2">
        <v>3207.5</v>
      </c>
      <c r="J98" s="2">
        <v>3302.3</v>
      </c>
      <c r="K98" s="2">
        <v>3218.9</v>
      </c>
      <c r="L98" s="2">
        <v>3219</v>
      </c>
      <c r="M98" s="2">
        <v>3252.19</v>
      </c>
      <c r="N98" s="2">
        <v>3344</v>
      </c>
      <c r="O98" s="2">
        <v>1103.75</v>
      </c>
      <c r="P98" s="2">
        <v>1358879</v>
      </c>
      <c r="Q98" s="2">
        <v>151256</v>
      </c>
    </row>
    <row r="99" spans="1:17" x14ac:dyDescent="0.3">
      <c r="A99" s="1">
        <v>45351</v>
      </c>
      <c r="B99" s="1" t="str">
        <f>TEXT(A99,"dddd")</f>
        <v>Thursday</v>
      </c>
      <c r="C99" s="1" t="str">
        <f>TEXT(A99,"mmmm")</f>
        <v>February</v>
      </c>
      <c r="D99" s="1" t="str">
        <f>"Q"&amp;ROUNDUP(MONTH(A99)/3,0)</f>
        <v>Q1</v>
      </c>
      <c r="E99" s="1" t="str">
        <f>TEXT(A99,"yyyy")</f>
        <v>2024</v>
      </c>
      <c r="F99" t="s">
        <v>13</v>
      </c>
      <c r="G99" s="2">
        <v>3220.05</v>
      </c>
      <c r="H99" s="2">
        <v>3304.75</v>
      </c>
      <c r="I99" s="2">
        <v>3205.35</v>
      </c>
      <c r="J99" s="2">
        <v>3219</v>
      </c>
      <c r="K99" s="2">
        <v>3299.9</v>
      </c>
      <c r="L99" s="2">
        <v>3285.4</v>
      </c>
      <c r="M99" s="2">
        <v>3260.07</v>
      </c>
      <c r="N99" s="2">
        <v>3344</v>
      </c>
      <c r="O99" s="2">
        <v>1103.75</v>
      </c>
      <c r="P99" s="2">
        <v>1352988</v>
      </c>
      <c r="Q99" s="2">
        <v>151256</v>
      </c>
    </row>
    <row r="100" spans="1:17" x14ac:dyDescent="0.3">
      <c r="A100" s="1">
        <v>45352</v>
      </c>
      <c r="B100" s="1" t="str">
        <f>TEXT(A100,"dddd")</f>
        <v>Friday</v>
      </c>
      <c r="C100" s="1" t="str">
        <f>TEXT(A100,"mmmm")</f>
        <v>March</v>
      </c>
      <c r="D100" s="1" t="str">
        <f>"Q"&amp;ROUNDUP(MONTH(A100)/3,0)</f>
        <v>Q1</v>
      </c>
      <c r="E100" s="1" t="str">
        <f>TEXT(A100,"yyyy")</f>
        <v>2024</v>
      </c>
      <c r="F100" t="s">
        <v>13</v>
      </c>
      <c r="G100" s="2">
        <v>3309.85</v>
      </c>
      <c r="H100" s="2">
        <v>3346</v>
      </c>
      <c r="I100" s="2">
        <v>3281.8</v>
      </c>
      <c r="J100" s="2">
        <v>3285.4</v>
      </c>
      <c r="K100" s="2">
        <v>3321.5</v>
      </c>
      <c r="L100" s="2">
        <v>3318.75</v>
      </c>
      <c r="M100" s="2">
        <v>3314.26</v>
      </c>
      <c r="N100" s="2">
        <v>3346</v>
      </c>
      <c r="O100" s="2">
        <v>1103.75</v>
      </c>
      <c r="P100" s="2">
        <v>1161067</v>
      </c>
      <c r="Q100" s="2">
        <v>151256</v>
      </c>
    </row>
    <row r="101" spans="1:17" x14ac:dyDescent="0.3">
      <c r="A101" s="1">
        <v>45353</v>
      </c>
      <c r="B101" s="1" t="str">
        <f>TEXT(A101,"dddd")</f>
        <v>Saturday</v>
      </c>
      <c r="C101" s="1" t="str">
        <f>TEXT(A101,"mmmm")</f>
        <v>March</v>
      </c>
      <c r="D101" s="1" t="str">
        <f>"Q"&amp;ROUNDUP(MONTH(A101)/3,0)</f>
        <v>Q1</v>
      </c>
      <c r="E101" s="1" t="str">
        <f>TEXT(A101,"yyyy")</f>
        <v>2024</v>
      </c>
      <c r="F101" t="s">
        <v>13</v>
      </c>
      <c r="G101" s="2">
        <v>3332</v>
      </c>
      <c r="H101" s="2">
        <v>3348.7</v>
      </c>
      <c r="I101" s="2">
        <v>3321.5</v>
      </c>
      <c r="J101" s="2">
        <v>3318.75</v>
      </c>
      <c r="K101" s="2">
        <v>3332.5</v>
      </c>
      <c r="L101" s="2">
        <v>3333.25</v>
      </c>
      <c r="M101" s="2">
        <v>3333.12</v>
      </c>
      <c r="N101" s="2">
        <v>3348.7</v>
      </c>
      <c r="O101" s="2">
        <v>1103.75</v>
      </c>
      <c r="P101" s="2">
        <v>119511</v>
      </c>
      <c r="Q101" s="2">
        <v>151256</v>
      </c>
    </row>
    <row r="102" spans="1:17" x14ac:dyDescent="0.3">
      <c r="A102" s="1">
        <v>45355</v>
      </c>
      <c r="B102" s="1" t="str">
        <f>TEXT(A102,"dddd")</f>
        <v>Monday</v>
      </c>
      <c r="C102" s="1" t="str">
        <f>TEXT(A102,"mmmm")</f>
        <v>March</v>
      </c>
      <c r="D102" s="1" t="str">
        <f>"Q"&amp;ROUNDUP(MONTH(A102)/3,0)</f>
        <v>Q1</v>
      </c>
      <c r="E102" s="1" t="str">
        <f>TEXT(A102,"yyyy")</f>
        <v>2024</v>
      </c>
      <c r="F102" t="s">
        <v>13</v>
      </c>
      <c r="G102" s="2">
        <v>3335</v>
      </c>
      <c r="H102" s="2">
        <v>3350</v>
      </c>
      <c r="I102" s="2">
        <v>3310.05</v>
      </c>
      <c r="J102" s="2">
        <v>3333.25</v>
      </c>
      <c r="K102" s="2">
        <v>3320.95</v>
      </c>
      <c r="L102" s="2">
        <v>3317.15</v>
      </c>
      <c r="M102" s="2">
        <v>3325.35</v>
      </c>
      <c r="N102" s="2">
        <v>3350</v>
      </c>
      <c r="O102" s="2">
        <v>1573</v>
      </c>
      <c r="P102" s="2">
        <v>1061244</v>
      </c>
      <c r="Q102" s="2">
        <v>151256</v>
      </c>
    </row>
    <row r="103" spans="1:17" x14ac:dyDescent="0.3">
      <c r="A103" s="1">
        <v>45356</v>
      </c>
      <c r="B103" s="1" t="str">
        <f>TEXT(A103,"dddd")</f>
        <v>Tuesday</v>
      </c>
      <c r="C103" s="1" t="str">
        <f>TEXT(A103,"mmmm")</f>
        <v>March</v>
      </c>
      <c r="D103" s="1" t="str">
        <f>"Q"&amp;ROUNDUP(MONTH(A103)/3,0)</f>
        <v>Q1</v>
      </c>
      <c r="E103" s="1" t="str">
        <f>TEXT(A103,"yyyy")</f>
        <v>2024</v>
      </c>
      <c r="F103" t="s">
        <v>13</v>
      </c>
      <c r="G103" s="2">
        <v>3325.3</v>
      </c>
      <c r="H103" s="2">
        <v>3334</v>
      </c>
      <c r="I103" s="2">
        <v>3295.05</v>
      </c>
      <c r="J103" s="2">
        <v>3317.15</v>
      </c>
      <c r="K103" s="2">
        <v>3328</v>
      </c>
      <c r="L103" s="2">
        <v>3310.2</v>
      </c>
      <c r="M103" s="2">
        <v>3314.16</v>
      </c>
      <c r="N103" s="2">
        <v>3350</v>
      </c>
      <c r="O103" s="2">
        <v>1573</v>
      </c>
      <c r="P103" s="2">
        <v>1190416</v>
      </c>
      <c r="Q103" s="2">
        <v>151256</v>
      </c>
    </row>
    <row r="104" spans="1:17" x14ac:dyDescent="0.3">
      <c r="A104" s="1">
        <v>45357</v>
      </c>
      <c r="B104" s="1" t="str">
        <f>TEXT(A104,"dddd")</f>
        <v>Wednesday</v>
      </c>
      <c r="C104" s="1" t="str">
        <f>TEXT(A104,"mmmm")</f>
        <v>March</v>
      </c>
      <c r="D104" s="1" t="str">
        <f>"Q"&amp;ROUNDUP(MONTH(A104)/3,0)</f>
        <v>Q1</v>
      </c>
      <c r="E104" s="1" t="str">
        <f>TEXT(A104,"yyyy")</f>
        <v>2024</v>
      </c>
      <c r="F104" t="s">
        <v>13</v>
      </c>
      <c r="G104" s="2">
        <v>3323</v>
      </c>
      <c r="H104" s="2">
        <v>3323</v>
      </c>
      <c r="I104" s="2">
        <v>3183.15</v>
      </c>
      <c r="J104" s="2">
        <v>3310.2</v>
      </c>
      <c r="K104" s="2">
        <v>3238</v>
      </c>
      <c r="L104" s="2">
        <v>3233.95</v>
      </c>
      <c r="M104" s="2">
        <v>3226.77</v>
      </c>
      <c r="N104" s="2">
        <v>3350</v>
      </c>
      <c r="O104" s="2">
        <v>1573</v>
      </c>
      <c r="P104" s="2">
        <v>1935203</v>
      </c>
      <c r="Q104" s="2">
        <v>151256</v>
      </c>
    </row>
    <row r="105" spans="1:17" x14ac:dyDescent="0.3">
      <c r="A105" s="1">
        <v>45358</v>
      </c>
      <c r="B105" s="1" t="str">
        <f>TEXT(A105,"dddd")</f>
        <v>Thursday</v>
      </c>
      <c r="C105" s="1" t="str">
        <f>TEXT(A105,"mmmm")</f>
        <v>March</v>
      </c>
      <c r="D105" s="1" t="str">
        <f>"Q"&amp;ROUNDUP(MONTH(A105)/3,0)</f>
        <v>Q1</v>
      </c>
      <c r="E105" s="1" t="str">
        <f>TEXT(A105,"yyyy")</f>
        <v>2024</v>
      </c>
      <c r="F105" t="s">
        <v>13</v>
      </c>
      <c r="G105" s="2">
        <v>3240</v>
      </c>
      <c r="H105" s="2">
        <v>3262</v>
      </c>
      <c r="I105" s="2">
        <v>3220</v>
      </c>
      <c r="J105" s="2">
        <v>3233.95</v>
      </c>
      <c r="K105" s="2">
        <v>3229</v>
      </c>
      <c r="L105" s="2">
        <v>3226.55</v>
      </c>
      <c r="M105" s="2">
        <v>3240.29</v>
      </c>
      <c r="N105" s="2">
        <v>3350</v>
      </c>
      <c r="O105" s="2">
        <v>1573</v>
      </c>
      <c r="P105" s="2">
        <v>856328</v>
      </c>
      <c r="Q105" s="2">
        <v>151256</v>
      </c>
    </row>
    <row r="106" spans="1:17" x14ac:dyDescent="0.3">
      <c r="A106" s="1">
        <v>45362</v>
      </c>
      <c r="B106" s="1" t="str">
        <f>TEXT(A106,"dddd")</f>
        <v>Monday</v>
      </c>
      <c r="C106" s="1" t="str">
        <f>TEXT(A106,"mmmm")</f>
        <v>March</v>
      </c>
      <c r="D106" s="1" t="str">
        <f>"Q"&amp;ROUNDUP(MONTH(A106)/3,0)</f>
        <v>Q1</v>
      </c>
      <c r="E106" s="1" t="str">
        <f>TEXT(A106,"yyyy")</f>
        <v>2024</v>
      </c>
      <c r="F106" t="s">
        <v>13</v>
      </c>
      <c r="G106" s="2">
        <v>3241.2</v>
      </c>
      <c r="H106" s="2">
        <v>3259</v>
      </c>
      <c r="I106" s="2">
        <v>3200</v>
      </c>
      <c r="J106" s="2">
        <v>3226.55</v>
      </c>
      <c r="K106" s="2">
        <v>3210</v>
      </c>
      <c r="L106" s="2">
        <v>3207.35</v>
      </c>
      <c r="M106" s="2">
        <v>3229.54</v>
      </c>
      <c r="N106" s="2">
        <v>3350</v>
      </c>
      <c r="O106" s="2">
        <v>1573</v>
      </c>
      <c r="P106" s="2">
        <v>738851</v>
      </c>
      <c r="Q106" s="2">
        <v>151256</v>
      </c>
    </row>
    <row r="107" spans="1:17" x14ac:dyDescent="0.3">
      <c r="A107" s="1">
        <v>45363</v>
      </c>
      <c r="B107" s="1" t="str">
        <f>TEXT(A107,"dddd")</f>
        <v>Tuesday</v>
      </c>
      <c r="C107" s="1" t="str">
        <f>TEXT(A107,"mmmm")</f>
        <v>March</v>
      </c>
      <c r="D107" s="1" t="str">
        <f>"Q"&amp;ROUNDUP(MONTH(A107)/3,0)</f>
        <v>Q1</v>
      </c>
      <c r="E107" s="1" t="str">
        <f>TEXT(A107,"yyyy")</f>
        <v>2024</v>
      </c>
      <c r="F107" t="s">
        <v>13</v>
      </c>
      <c r="G107" s="2">
        <v>3207.35</v>
      </c>
      <c r="H107" s="2">
        <v>3222.7</v>
      </c>
      <c r="I107" s="2">
        <v>3111</v>
      </c>
      <c r="J107" s="2">
        <v>3207.35</v>
      </c>
      <c r="K107" s="2">
        <v>3122.9</v>
      </c>
      <c r="L107" s="2">
        <v>3122.5</v>
      </c>
      <c r="M107" s="2">
        <v>3156.27</v>
      </c>
      <c r="N107" s="2">
        <v>3350</v>
      </c>
      <c r="O107" s="2">
        <v>1573</v>
      </c>
      <c r="P107" s="2">
        <v>1199487</v>
      </c>
      <c r="Q107" s="2">
        <v>151256</v>
      </c>
    </row>
    <row r="108" spans="1:17" x14ac:dyDescent="0.3">
      <c r="A108" s="1">
        <v>45364</v>
      </c>
      <c r="B108" s="1" t="str">
        <f>TEXT(A108,"dddd")</f>
        <v>Wednesday</v>
      </c>
      <c r="C108" s="1" t="str">
        <f>TEXT(A108,"mmmm")</f>
        <v>March</v>
      </c>
      <c r="D108" s="1" t="str">
        <f>"Q"&amp;ROUNDUP(MONTH(A108)/3,0)</f>
        <v>Q1</v>
      </c>
      <c r="E108" s="1" t="str">
        <f>TEXT(A108,"yyyy")</f>
        <v>2024</v>
      </c>
      <c r="F108" t="s">
        <v>13</v>
      </c>
      <c r="G108" s="2">
        <v>3125</v>
      </c>
      <c r="H108" s="2">
        <v>3138.05</v>
      </c>
      <c r="I108" s="2">
        <v>2850.15</v>
      </c>
      <c r="J108" s="2">
        <v>3122.5</v>
      </c>
      <c r="K108" s="2">
        <v>2909.8</v>
      </c>
      <c r="L108" s="2">
        <v>2906.2</v>
      </c>
      <c r="M108" s="2">
        <v>2950.44</v>
      </c>
      <c r="N108" s="2">
        <v>3350</v>
      </c>
      <c r="O108" s="2">
        <v>1573</v>
      </c>
      <c r="P108" s="2">
        <v>3407040</v>
      </c>
      <c r="Q108" s="2">
        <v>151256</v>
      </c>
    </row>
    <row r="109" spans="1:17" x14ac:dyDescent="0.3">
      <c r="A109" s="1">
        <v>45365</v>
      </c>
      <c r="B109" s="1" t="str">
        <f>TEXT(A109,"dddd")</f>
        <v>Thursday</v>
      </c>
      <c r="C109" s="1" t="str">
        <f>TEXT(A109,"mmmm")</f>
        <v>March</v>
      </c>
      <c r="D109" s="1" t="str">
        <f>"Q"&amp;ROUNDUP(MONTH(A109)/3,0)</f>
        <v>Q1</v>
      </c>
      <c r="E109" s="1" t="str">
        <f>TEXT(A109,"yyyy")</f>
        <v>2024</v>
      </c>
      <c r="F109" t="s">
        <v>13</v>
      </c>
      <c r="G109" s="2">
        <v>2927.45</v>
      </c>
      <c r="H109" s="2">
        <v>3101.2</v>
      </c>
      <c r="I109" s="2">
        <v>2880</v>
      </c>
      <c r="J109" s="2">
        <v>2906.2</v>
      </c>
      <c r="K109" s="2">
        <v>3085</v>
      </c>
      <c r="L109" s="2">
        <v>3087.45</v>
      </c>
      <c r="M109" s="2">
        <v>3033.64</v>
      </c>
      <c r="N109" s="2">
        <v>3350</v>
      </c>
      <c r="O109" s="2">
        <v>1573</v>
      </c>
      <c r="P109" s="2">
        <v>3759100</v>
      </c>
      <c r="Q109" s="2">
        <v>151256</v>
      </c>
    </row>
    <row r="110" spans="1:17" x14ac:dyDescent="0.3">
      <c r="A110" s="1">
        <v>45366</v>
      </c>
      <c r="B110" s="1" t="str">
        <f>TEXT(A110,"dddd")</f>
        <v>Friday</v>
      </c>
      <c r="C110" s="1" t="str">
        <f>TEXT(A110,"mmmm")</f>
        <v>March</v>
      </c>
      <c r="D110" s="1" t="str">
        <f>"Q"&amp;ROUNDUP(MONTH(A110)/3,0)</f>
        <v>Q1</v>
      </c>
      <c r="E110" s="1" t="str">
        <f>TEXT(A110,"yyyy")</f>
        <v>2024</v>
      </c>
      <c r="F110" t="s">
        <v>13</v>
      </c>
      <c r="G110" s="2">
        <v>3111</v>
      </c>
      <c r="H110" s="2">
        <v>3143.4</v>
      </c>
      <c r="I110" s="2">
        <v>3061.25</v>
      </c>
      <c r="J110" s="2">
        <v>3087.45</v>
      </c>
      <c r="K110" s="2">
        <v>3125</v>
      </c>
      <c r="L110" s="2">
        <v>3132.2</v>
      </c>
      <c r="M110" s="2">
        <v>3108.38</v>
      </c>
      <c r="N110" s="2">
        <v>3350</v>
      </c>
      <c r="O110" s="2">
        <v>1573</v>
      </c>
      <c r="P110" s="2">
        <v>2199094</v>
      </c>
      <c r="Q110" s="2">
        <v>151256</v>
      </c>
    </row>
    <row r="111" spans="1:17" x14ac:dyDescent="0.3">
      <c r="A111" s="1">
        <v>45369</v>
      </c>
      <c r="B111" s="1" t="str">
        <f>TEXT(A111,"dddd")</f>
        <v>Monday</v>
      </c>
      <c r="C111" s="1" t="str">
        <f>TEXT(A111,"mmmm")</f>
        <v>March</v>
      </c>
      <c r="D111" s="1" t="str">
        <f>"Q"&amp;ROUNDUP(MONTH(A111)/3,0)</f>
        <v>Q1</v>
      </c>
      <c r="E111" s="1" t="str">
        <f>TEXT(A111,"yyyy")</f>
        <v>2024</v>
      </c>
      <c r="F111" t="s">
        <v>13</v>
      </c>
      <c r="G111" s="2">
        <v>3050.1</v>
      </c>
      <c r="H111" s="2">
        <v>3124</v>
      </c>
      <c r="I111" s="2">
        <v>2976.05</v>
      </c>
      <c r="J111" s="2">
        <v>3132.2</v>
      </c>
      <c r="K111" s="2">
        <v>3110</v>
      </c>
      <c r="L111" s="2">
        <v>3111.75</v>
      </c>
      <c r="M111" s="2">
        <v>3053.4</v>
      </c>
      <c r="N111" s="2">
        <v>3350</v>
      </c>
      <c r="O111" s="2">
        <v>1573</v>
      </c>
      <c r="P111" s="2">
        <v>3042515</v>
      </c>
      <c r="Q111" s="2">
        <v>151256</v>
      </c>
    </row>
    <row r="112" spans="1:17" x14ac:dyDescent="0.3">
      <c r="A112" s="1">
        <v>45370</v>
      </c>
      <c r="B112" s="1" t="str">
        <f>TEXT(A112,"dddd")</f>
        <v>Tuesday</v>
      </c>
      <c r="C112" s="1" t="str">
        <f>TEXT(A112,"mmmm")</f>
        <v>March</v>
      </c>
      <c r="D112" s="1" t="str">
        <f>"Q"&amp;ROUNDUP(MONTH(A112)/3,0)</f>
        <v>Q1</v>
      </c>
      <c r="E112" s="1" t="str">
        <f>TEXT(A112,"yyyy")</f>
        <v>2024</v>
      </c>
      <c r="F112" t="s">
        <v>13</v>
      </c>
      <c r="G112" s="2">
        <v>3126</v>
      </c>
      <c r="H112" s="2">
        <v>3164.8</v>
      </c>
      <c r="I112" s="2">
        <v>3041.85</v>
      </c>
      <c r="J112" s="2">
        <v>3111.75</v>
      </c>
      <c r="K112" s="2">
        <v>3055.9</v>
      </c>
      <c r="L112" s="2">
        <v>3052.7</v>
      </c>
      <c r="M112" s="2">
        <v>3093.78</v>
      </c>
      <c r="N112" s="2">
        <v>3350</v>
      </c>
      <c r="O112" s="2">
        <v>1573</v>
      </c>
      <c r="P112" s="2">
        <v>1460452</v>
      </c>
      <c r="Q112" s="2">
        <v>151256</v>
      </c>
    </row>
    <row r="113" spans="1:17" x14ac:dyDescent="0.3">
      <c r="A113" s="1">
        <v>45371</v>
      </c>
      <c r="B113" s="1" t="str">
        <f>TEXT(A113,"dddd")</f>
        <v>Wednesday</v>
      </c>
      <c r="C113" s="1" t="str">
        <f>TEXT(A113,"mmmm")</f>
        <v>March</v>
      </c>
      <c r="D113" s="1" t="str">
        <f>"Q"&amp;ROUNDUP(MONTH(A113)/3,0)</f>
        <v>Q1</v>
      </c>
      <c r="E113" s="1" t="str">
        <f>TEXT(A113,"yyyy")</f>
        <v>2024</v>
      </c>
      <c r="F113" t="s">
        <v>13</v>
      </c>
      <c r="G113" s="2">
        <v>3075</v>
      </c>
      <c r="H113" s="2">
        <v>3083.2</v>
      </c>
      <c r="I113" s="2">
        <v>3021.1</v>
      </c>
      <c r="J113" s="2">
        <v>3052.7</v>
      </c>
      <c r="K113" s="2">
        <v>3050.1</v>
      </c>
      <c r="L113" s="2">
        <v>3051.45</v>
      </c>
      <c r="M113" s="2">
        <v>3046.55</v>
      </c>
      <c r="N113" s="2">
        <v>3350</v>
      </c>
      <c r="O113" s="2">
        <v>1573</v>
      </c>
      <c r="P113" s="2">
        <v>966481</v>
      </c>
      <c r="Q113" s="2">
        <v>151256</v>
      </c>
    </row>
    <row r="114" spans="1:17" x14ac:dyDescent="0.3">
      <c r="A114" s="1">
        <v>45372</v>
      </c>
      <c r="B114" s="1" t="str">
        <f>TEXT(A114,"dddd")</f>
        <v>Thursday</v>
      </c>
      <c r="C114" s="1" t="str">
        <f>TEXT(A114,"mmmm")</f>
        <v>March</v>
      </c>
      <c r="D114" s="1" t="str">
        <f>"Q"&amp;ROUNDUP(MONTH(A114)/3,0)</f>
        <v>Q1</v>
      </c>
      <c r="E114" s="1" t="str">
        <f>TEXT(A114,"yyyy")</f>
        <v>2024</v>
      </c>
      <c r="F114" t="s">
        <v>13</v>
      </c>
      <c r="G114" s="2">
        <v>3089.55</v>
      </c>
      <c r="H114" s="2">
        <v>3107.1</v>
      </c>
      <c r="I114" s="2">
        <v>3059.6</v>
      </c>
      <c r="J114" s="2">
        <v>3051.45</v>
      </c>
      <c r="K114" s="2">
        <v>3071.65</v>
      </c>
      <c r="L114" s="2">
        <v>3066.5</v>
      </c>
      <c r="M114" s="2">
        <v>3080.51</v>
      </c>
      <c r="N114" s="2">
        <v>3350</v>
      </c>
      <c r="O114" s="2">
        <v>1573</v>
      </c>
      <c r="P114" s="2">
        <v>1175751</v>
      </c>
      <c r="Q114" s="2">
        <v>151256</v>
      </c>
    </row>
    <row r="115" spans="1:17" x14ac:dyDescent="0.3">
      <c r="A115" s="1">
        <v>45373</v>
      </c>
      <c r="B115" s="1" t="str">
        <f>TEXT(A115,"dddd")</f>
        <v>Friday</v>
      </c>
      <c r="C115" s="1" t="str">
        <f>TEXT(A115,"mmmm")</f>
        <v>March</v>
      </c>
      <c r="D115" s="1" t="str">
        <f>"Q"&amp;ROUNDUP(MONTH(A115)/3,0)</f>
        <v>Q1</v>
      </c>
      <c r="E115" s="1" t="str">
        <f>TEXT(A115,"yyyy")</f>
        <v>2024</v>
      </c>
      <c r="F115" t="s">
        <v>13</v>
      </c>
      <c r="G115" s="2">
        <v>3066.55</v>
      </c>
      <c r="H115" s="2">
        <v>3128.95</v>
      </c>
      <c r="I115" s="2">
        <v>3048.05</v>
      </c>
      <c r="J115" s="2">
        <v>3066.5</v>
      </c>
      <c r="K115" s="2">
        <v>3103</v>
      </c>
      <c r="L115" s="2">
        <v>3107.7</v>
      </c>
      <c r="M115" s="2">
        <v>3095.08</v>
      </c>
      <c r="N115" s="2">
        <v>3350</v>
      </c>
      <c r="O115" s="2">
        <v>1573</v>
      </c>
      <c r="P115" s="2">
        <v>951557</v>
      </c>
      <c r="Q115" s="2">
        <v>151256</v>
      </c>
    </row>
    <row r="116" spans="1:17" x14ac:dyDescent="0.3">
      <c r="A116" s="1">
        <v>45377</v>
      </c>
      <c r="B116" s="1" t="str">
        <f>TEXT(A116,"dddd")</f>
        <v>Tuesday</v>
      </c>
      <c r="C116" s="1" t="str">
        <f>TEXT(A116,"mmmm")</f>
        <v>March</v>
      </c>
      <c r="D116" s="1" t="str">
        <f>"Q"&amp;ROUNDUP(MONTH(A116)/3,0)</f>
        <v>Q1</v>
      </c>
      <c r="E116" s="1" t="str">
        <f>TEXT(A116,"yyyy")</f>
        <v>2024</v>
      </c>
      <c r="F116" t="s">
        <v>13</v>
      </c>
      <c r="G116" s="2">
        <v>3100.5</v>
      </c>
      <c r="H116" s="2">
        <v>3171.95</v>
      </c>
      <c r="I116" s="2">
        <v>3089.1</v>
      </c>
      <c r="J116" s="2">
        <v>3107.7</v>
      </c>
      <c r="K116" s="2">
        <v>3112</v>
      </c>
      <c r="L116" s="2">
        <v>3109.95</v>
      </c>
      <c r="M116" s="2">
        <v>3130.27</v>
      </c>
      <c r="N116" s="2">
        <v>3350</v>
      </c>
      <c r="O116" s="2">
        <v>1573</v>
      </c>
      <c r="P116" s="2">
        <v>937103</v>
      </c>
      <c r="Q116" s="2">
        <v>151256</v>
      </c>
    </row>
    <row r="117" spans="1:17" x14ac:dyDescent="0.3">
      <c r="A117" s="1">
        <v>45378</v>
      </c>
      <c r="B117" s="1" t="str">
        <f>TEXT(A117,"dddd")</f>
        <v>Wednesday</v>
      </c>
      <c r="C117" s="1" t="str">
        <f>TEXT(A117,"mmmm")</f>
        <v>March</v>
      </c>
      <c r="D117" s="1" t="str">
        <f>"Q"&amp;ROUNDUP(MONTH(A117)/3,0)</f>
        <v>Q1</v>
      </c>
      <c r="E117" s="1" t="str">
        <f>TEXT(A117,"yyyy")</f>
        <v>2024</v>
      </c>
      <c r="F117" t="s">
        <v>13</v>
      </c>
      <c r="G117" s="2">
        <v>3115</v>
      </c>
      <c r="H117" s="2">
        <v>3138.45</v>
      </c>
      <c r="I117" s="2">
        <v>3106.25</v>
      </c>
      <c r="J117" s="2">
        <v>3109.95</v>
      </c>
      <c r="K117" s="2">
        <v>3124.25</v>
      </c>
      <c r="L117" s="2">
        <v>3122.1</v>
      </c>
      <c r="M117" s="2">
        <v>3122.82</v>
      </c>
      <c r="N117" s="2">
        <v>3350</v>
      </c>
      <c r="O117" s="2">
        <v>1573</v>
      </c>
      <c r="P117" s="2">
        <v>900231</v>
      </c>
      <c r="Q117" s="2">
        <v>151256</v>
      </c>
    </row>
    <row r="118" spans="1:17" x14ac:dyDescent="0.3">
      <c r="A118" s="1">
        <v>45379</v>
      </c>
      <c r="B118" s="1" t="str">
        <f>TEXT(A118,"dddd")</f>
        <v>Thursday</v>
      </c>
      <c r="C118" s="1" t="str">
        <f>TEXT(A118,"mmmm")</f>
        <v>March</v>
      </c>
      <c r="D118" s="1" t="str">
        <f>"Q"&amp;ROUNDUP(MONTH(A118)/3,0)</f>
        <v>Q1</v>
      </c>
      <c r="E118" s="1" t="str">
        <f>TEXT(A118,"yyyy")</f>
        <v>2024</v>
      </c>
      <c r="F118" t="s">
        <v>13</v>
      </c>
      <c r="G118" s="2">
        <v>3134</v>
      </c>
      <c r="H118" s="2">
        <v>3237</v>
      </c>
      <c r="I118" s="2">
        <v>3096.75</v>
      </c>
      <c r="J118" s="2">
        <v>3122.1</v>
      </c>
      <c r="K118" s="2">
        <v>3197</v>
      </c>
      <c r="L118" s="2">
        <v>3197.1</v>
      </c>
      <c r="M118" s="2">
        <v>3178.72</v>
      </c>
      <c r="N118" s="2">
        <v>3350</v>
      </c>
      <c r="O118" s="2">
        <v>1573</v>
      </c>
      <c r="P118" s="2">
        <v>2327053</v>
      </c>
      <c r="Q118" s="2">
        <v>151256</v>
      </c>
    </row>
    <row r="119" spans="1:17" x14ac:dyDescent="0.3">
      <c r="A119" s="1">
        <v>45383</v>
      </c>
      <c r="B119" s="1" t="str">
        <f>TEXT(A119,"dddd")</f>
        <v>Monday</v>
      </c>
      <c r="C119" s="1" t="str">
        <f>TEXT(A119,"mmmm")</f>
        <v>April</v>
      </c>
      <c r="D119" s="1" t="str">
        <f>"Q"&amp;ROUNDUP(MONTH(A119)/3,0)</f>
        <v>Q2</v>
      </c>
      <c r="E119" s="1" t="str">
        <f>TEXT(A119,"yyyy")</f>
        <v>2024</v>
      </c>
      <c r="F119" t="s">
        <v>13</v>
      </c>
      <c r="G119" s="2">
        <v>3230.2</v>
      </c>
      <c r="H119" s="2">
        <v>3291.8</v>
      </c>
      <c r="I119" s="2">
        <v>3207.85</v>
      </c>
      <c r="J119" s="2">
        <v>3197.1</v>
      </c>
      <c r="K119" s="2">
        <v>3255.2</v>
      </c>
      <c r="L119" s="2">
        <v>3252.1</v>
      </c>
      <c r="M119" s="2">
        <v>3247.41</v>
      </c>
      <c r="N119" s="2">
        <v>3350</v>
      </c>
      <c r="O119" s="2">
        <v>1671.55</v>
      </c>
      <c r="P119" s="2">
        <v>1292646</v>
      </c>
      <c r="Q119" s="2">
        <v>151256</v>
      </c>
    </row>
    <row r="120" spans="1:17" x14ac:dyDescent="0.3">
      <c r="A120" s="1">
        <v>45384</v>
      </c>
      <c r="B120" s="1" t="str">
        <f>TEXT(A120,"dddd")</f>
        <v>Tuesday</v>
      </c>
      <c r="C120" s="1" t="str">
        <f>TEXT(A120,"mmmm")</f>
        <v>April</v>
      </c>
      <c r="D120" s="1" t="str">
        <f>"Q"&amp;ROUNDUP(MONTH(A120)/3,0)</f>
        <v>Q2</v>
      </c>
      <c r="E120" s="1" t="str">
        <f>TEXT(A120,"yyyy")</f>
        <v>2024</v>
      </c>
      <c r="F120" t="s">
        <v>13</v>
      </c>
      <c r="G120" s="2">
        <v>3258.95</v>
      </c>
      <c r="H120" s="2">
        <v>3285</v>
      </c>
      <c r="I120" s="2">
        <v>3240</v>
      </c>
      <c r="J120" s="2">
        <v>3252.1</v>
      </c>
      <c r="K120" s="2">
        <v>3267.35</v>
      </c>
      <c r="L120" s="2">
        <v>3268.75</v>
      </c>
      <c r="M120" s="2">
        <v>3259.76</v>
      </c>
      <c r="N120" s="2">
        <v>3350</v>
      </c>
      <c r="O120" s="2">
        <v>1671.55</v>
      </c>
      <c r="P120" s="2">
        <v>868829</v>
      </c>
      <c r="Q120" s="2">
        <v>151256</v>
      </c>
    </row>
    <row r="121" spans="1:17" x14ac:dyDescent="0.3">
      <c r="A121" s="1">
        <v>45385</v>
      </c>
      <c r="B121" s="1" t="str">
        <f>TEXT(A121,"dddd")</f>
        <v>Wednesday</v>
      </c>
      <c r="C121" s="1" t="str">
        <f>TEXT(A121,"mmmm")</f>
        <v>April</v>
      </c>
      <c r="D121" s="1" t="str">
        <f>"Q"&amp;ROUNDUP(MONTH(A121)/3,0)</f>
        <v>Q2</v>
      </c>
      <c r="E121" s="1" t="str">
        <f>TEXT(A121,"yyyy")</f>
        <v>2024</v>
      </c>
      <c r="F121" t="s">
        <v>13</v>
      </c>
      <c r="G121" s="2">
        <v>3250</v>
      </c>
      <c r="H121" s="2">
        <v>3260.15</v>
      </c>
      <c r="I121" s="2">
        <v>3222</v>
      </c>
      <c r="J121" s="2">
        <v>3268.75</v>
      </c>
      <c r="K121" s="2">
        <v>3238</v>
      </c>
      <c r="L121" s="2">
        <v>3233.45</v>
      </c>
      <c r="M121" s="2">
        <v>3238.76</v>
      </c>
      <c r="N121" s="2">
        <v>3350</v>
      </c>
      <c r="O121" s="2">
        <v>1671.55</v>
      </c>
      <c r="P121" s="2">
        <v>1153109</v>
      </c>
      <c r="Q121" s="2">
        <v>151256</v>
      </c>
    </row>
    <row r="122" spans="1:17" x14ac:dyDescent="0.3">
      <c r="A122" s="1">
        <v>45386</v>
      </c>
      <c r="B122" s="1" t="str">
        <f>TEXT(A122,"dddd")</f>
        <v>Thursday</v>
      </c>
      <c r="C122" s="1" t="str">
        <f>TEXT(A122,"mmmm")</f>
        <v>April</v>
      </c>
      <c r="D122" s="1" t="str">
        <f>"Q"&amp;ROUNDUP(MONTH(A122)/3,0)</f>
        <v>Q2</v>
      </c>
      <c r="E122" s="1" t="str">
        <f>TEXT(A122,"yyyy")</f>
        <v>2024</v>
      </c>
      <c r="F122" t="s">
        <v>13</v>
      </c>
      <c r="G122" s="2">
        <v>3250</v>
      </c>
      <c r="H122" s="2">
        <v>3273</v>
      </c>
      <c r="I122" s="2">
        <v>3201.7</v>
      </c>
      <c r="J122" s="2">
        <v>3233.45</v>
      </c>
      <c r="K122" s="2">
        <v>3220</v>
      </c>
      <c r="L122" s="2">
        <v>3210.8</v>
      </c>
      <c r="M122" s="2">
        <v>3234.57</v>
      </c>
      <c r="N122" s="2">
        <v>3350</v>
      </c>
      <c r="O122" s="2">
        <v>1671.55</v>
      </c>
      <c r="P122" s="2">
        <v>1403826</v>
      </c>
      <c r="Q122" s="2">
        <v>151256</v>
      </c>
    </row>
    <row r="123" spans="1:17" x14ac:dyDescent="0.3">
      <c r="A123" s="1">
        <v>45387</v>
      </c>
      <c r="B123" s="1" t="str">
        <f>TEXT(A123,"dddd")</f>
        <v>Friday</v>
      </c>
      <c r="C123" s="1" t="str">
        <f>TEXT(A123,"mmmm")</f>
        <v>April</v>
      </c>
      <c r="D123" s="1" t="str">
        <f>"Q"&amp;ROUNDUP(MONTH(A123)/3,0)</f>
        <v>Q2</v>
      </c>
      <c r="E123" s="1" t="str">
        <f>TEXT(A123,"yyyy")</f>
        <v>2024</v>
      </c>
      <c r="F123" t="s">
        <v>13</v>
      </c>
      <c r="G123" s="2">
        <v>3211.1</v>
      </c>
      <c r="H123" s="2">
        <v>3234</v>
      </c>
      <c r="I123" s="2">
        <v>3178.95</v>
      </c>
      <c r="J123" s="2">
        <v>3210.8</v>
      </c>
      <c r="K123" s="2">
        <v>3217.9</v>
      </c>
      <c r="L123" s="2">
        <v>3224.8</v>
      </c>
      <c r="M123" s="2">
        <v>3215.34</v>
      </c>
      <c r="N123" s="2">
        <v>3350</v>
      </c>
      <c r="O123" s="2">
        <v>1671.55</v>
      </c>
      <c r="P123" s="2">
        <v>755607</v>
      </c>
      <c r="Q123" s="2">
        <v>151256</v>
      </c>
    </row>
    <row r="124" spans="1:17" x14ac:dyDescent="0.3">
      <c r="A124" s="1">
        <v>45390</v>
      </c>
      <c r="B124" s="1" t="str">
        <f>TEXT(A124,"dddd")</f>
        <v>Monday</v>
      </c>
      <c r="C124" s="1" t="str">
        <f>TEXT(A124,"mmmm")</f>
        <v>April</v>
      </c>
      <c r="D124" s="1" t="str">
        <f>"Q"&amp;ROUNDUP(MONTH(A124)/3,0)</f>
        <v>Q2</v>
      </c>
      <c r="E124" s="1" t="str">
        <f>TEXT(A124,"yyyy")</f>
        <v>2024</v>
      </c>
      <c r="F124" t="s">
        <v>13</v>
      </c>
      <c r="G124" s="2">
        <v>3240.95</v>
      </c>
      <c r="H124" s="2">
        <v>3243.5</v>
      </c>
      <c r="I124" s="2">
        <v>3197.2</v>
      </c>
      <c r="J124" s="2">
        <v>3224.8</v>
      </c>
      <c r="K124" s="2">
        <v>3236</v>
      </c>
      <c r="L124" s="2">
        <v>3224.55</v>
      </c>
      <c r="M124" s="2">
        <v>3216.9</v>
      </c>
      <c r="N124" s="2">
        <v>3350</v>
      </c>
      <c r="O124" s="2">
        <v>1760.6</v>
      </c>
      <c r="P124" s="2">
        <v>577440</v>
      </c>
      <c r="Q124" s="2">
        <v>151256</v>
      </c>
    </row>
    <row r="125" spans="1:17" x14ac:dyDescent="0.3">
      <c r="A125" s="1">
        <v>45391</v>
      </c>
      <c r="B125" s="1" t="str">
        <f>TEXT(A125,"dddd")</f>
        <v>Tuesday</v>
      </c>
      <c r="C125" s="1" t="str">
        <f>TEXT(A125,"mmmm")</f>
        <v>April</v>
      </c>
      <c r="D125" s="1" t="str">
        <f>"Q"&amp;ROUNDUP(MONTH(A125)/3,0)</f>
        <v>Q2</v>
      </c>
      <c r="E125" s="1" t="str">
        <f>TEXT(A125,"yyyy")</f>
        <v>2024</v>
      </c>
      <c r="F125" t="s">
        <v>13</v>
      </c>
      <c r="G125" s="2">
        <v>3240.7</v>
      </c>
      <c r="H125" s="2">
        <v>3251</v>
      </c>
      <c r="I125" s="2">
        <v>3185</v>
      </c>
      <c r="J125" s="2">
        <v>3224.55</v>
      </c>
      <c r="K125" s="2">
        <v>3202.6</v>
      </c>
      <c r="L125" s="2">
        <v>3198.45</v>
      </c>
      <c r="M125" s="2">
        <v>3214.28</v>
      </c>
      <c r="N125" s="2">
        <v>3350</v>
      </c>
      <c r="O125" s="2">
        <v>1760.6</v>
      </c>
      <c r="P125" s="2">
        <v>833679</v>
      </c>
      <c r="Q125" s="2">
        <v>151256</v>
      </c>
    </row>
    <row r="126" spans="1:17" x14ac:dyDescent="0.3">
      <c r="A126" s="1">
        <v>45392</v>
      </c>
      <c r="B126" s="1" t="str">
        <f>TEXT(A126,"dddd")</f>
        <v>Wednesday</v>
      </c>
      <c r="C126" s="1" t="str">
        <f>TEXT(A126,"mmmm")</f>
        <v>April</v>
      </c>
      <c r="D126" s="1" t="str">
        <f>"Q"&amp;ROUNDUP(MONTH(A126)/3,0)</f>
        <v>Q2</v>
      </c>
      <c r="E126" s="1" t="str">
        <f>TEXT(A126,"yyyy")</f>
        <v>2024</v>
      </c>
      <c r="F126" t="s">
        <v>13</v>
      </c>
      <c r="G126" s="2">
        <v>3200</v>
      </c>
      <c r="H126" s="2">
        <v>3254.6</v>
      </c>
      <c r="I126" s="2">
        <v>3192.5</v>
      </c>
      <c r="J126" s="2">
        <v>3198.45</v>
      </c>
      <c r="K126" s="2">
        <v>3245</v>
      </c>
      <c r="L126" s="2">
        <v>3242</v>
      </c>
      <c r="M126" s="2">
        <v>3231.43</v>
      </c>
      <c r="N126" s="2">
        <v>3350</v>
      </c>
      <c r="O126" s="2">
        <v>1760.6</v>
      </c>
      <c r="P126" s="2">
        <v>1441138</v>
      </c>
      <c r="Q126" s="2">
        <v>151256</v>
      </c>
    </row>
    <row r="127" spans="1:17" x14ac:dyDescent="0.3">
      <c r="A127" s="1">
        <v>45394</v>
      </c>
      <c r="B127" s="1" t="str">
        <f>TEXT(A127,"dddd")</f>
        <v>Friday</v>
      </c>
      <c r="C127" s="1" t="str">
        <f>TEXT(A127,"mmmm")</f>
        <v>April</v>
      </c>
      <c r="D127" s="1" t="str">
        <f>"Q"&amp;ROUNDUP(MONTH(A127)/3,0)</f>
        <v>Q2</v>
      </c>
      <c r="E127" s="1" t="str">
        <f>TEXT(A127,"yyyy")</f>
        <v>2024</v>
      </c>
      <c r="F127" t="s">
        <v>13</v>
      </c>
      <c r="G127" s="2">
        <v>3210</v>
      </c>
      <c r="H127" s="2">
        <v>3247.5</v>
      </c>
      <c r="I127" s="2">
        <v>3205.3</v>
      </c>
      <c r="J127" s="2">
        <v>3242</v>
      </c>
      <c r="K127" s="2">
        <v>3215</v>
      </c>
      <c r="L127" s="2">
        <v>3209.9</v>
      </c>
      <c r="M127" s="2">
        <v>3221.01</v>
      </c>
      <c r="N127" s="2">
        <v>3350</v>
      </c>
      <c r="O127" s="2">
        <v>1760.6</v>
      </c>
      <c r="P127" s="2">
        <v>705173</v>
      </c>
      <c r="Q127" s="2">
        <v>151256</v>
      </c>
    </row>
    <row r="128" spans="1:17" x14ac:dyDescent="0.3">
      <c r="A128" s="1">
        <v>45397</v>
      </c>
      <c r="B128" s="1" t="str">
        <f>TEXT(A128,"dddd")</f>
        <v>Monday</v>
      </c>
      <c r="C128" s="1" t="str">
        <f>TEXT(A128,"mmmm")</f>
        <v>April</v>
      </c>
      <c r="D128" s="1" t="str">
        <f>"Q"&amp;ROUNDUP(MONTH(A128)/3,0)</f>
        <v>Q2</v>
      </c>
      <c r="E128" s="1" t="str">
        <f>TEXT(A128,"yyyy")</f>
        <v>2024</v>
      </c>
      <c r="F128" t="s">
        <v>13</v>
      </c>
      <c r="G128" s="2">
        <v>3150</v>
      </c>
      <c r="H128" s="2">
        <v>3180.3</v>
      </c>
      <c r="I128" s="2">
        <v>3103.2</v>
      </c>
      <c r="J128" s="2">
        <v>3209.9</v>
      </c>
      <c r="K128" s="2">
        <v>3149.95</v>
      </c>
      <c r="L128" s="2">
        <v>3147.45</v>
      </c>
      <c r="M128" s="2">
        <v>3143.46</v>
      </c>
      <c r="N128" s="2">
        <v>3350</v>
      </c>
      <c r="O128" s="2">
        <v>1775.8</v>
      </c>
      <c r="P128" s="2">
        <v>1035378</v>
      </c>
      <c r="Q128" s="2">
        <v>151256</v>
      </c>
    </row>
    <row r="129" spans="1:17" x14ac:dyDescent="0.3">
      <c r="A129" s="1">
        <v>45398</v>
      </c>
      <c r="B129" s="1" t="str">
        <f>TEXT(A129,"dddd")</f>
        <v>Tuesday</v>
      </c>
      <c r="C129" s="1" t="str">
        <f>TEXT(A129,"mmmm")</f>
        <v>April</v>
      </c>
      <c r="D129" s="1" t="str">
        <f>"Q"&amp;ROUNDUP(MONTH(A129)/3,0)</f>
        <v>Q2</v>
      </c>
      <c r="E129" s="1" t="str">
        <f>TEXT(A129,"yyyy")</f>
        <v>2024</v>
      </c>
      <c r="F129" t="s">
        <v>13</v>
      </c>
      <c r="G129" s="2">
        <v>3101</v>
      </c>
      <c r="H129" s="2">
        <v>3149.2</v>
      </c>
      <c r="I129" s="2">
        <v>3100</v>
      </c>
      <c r="J129" s="2">
        <v>3147.45</v>
      </c>
      <c r="K129" s="2">
        <v>3108</v>
      </c>
      <c r="L129" s="2">
        <v>3106.4</v>
      </c>
      <c r="M129" s="2">
        <v>3119.45</v>
      </c>
      <c r="N129" s="2">
        <v>3350</v>
      </c>
      <c r="O129" s="2">
        <v>1775.8</v>
      </c>
      <c r="P129" s="2">
        <v>1134184</v>
      </c>
      <c r="Q129" s="2">
        <v>151256</v>
      </c>
    </row>
    <row r="130" spans="1:17" x14ac:dyDescent="0.3">
      <c r="A130" s="1">
        <v>45400</v>
      </c>
      <c r="B130" s="1" t="str">
        <f>TEXT(A130,"dddd")</f>
        <v>Thursday</v>
      </c>
      <c r="C130" s="1" t="str">
        <f>TEXT(A130,"mmmm")</f>
        <v>April</v>
      </c>
      <c r="D130" s="1" t="str">
        <f>"Q"&amp;ROUNDUP(MONTH(A130)/3,0)</f>
        <v>Q2</v>
      </c>
      <c r="E130" s="1" t="str">
        <f>TEXT(A130,"yyyy")</f>
        <v>2024</v>
      </c>
      <c r="F130" t="s">
        <v>13</v>
      </c>
      <c r="G130" s="2">
        <v>3125.15</v>
      </c>
      <c r="H130" s="2">
        <v>3145</v>
      </c>
      <c r="I130" s="2">
        <v>3008.3</v>
      </c>
      <c r="J130" s="2">
        <v>3106.4</v>
      </c>
      <c r="K130" s="2">
        <v>3035</v>
      </c>
      <c r="L130" s="2">
        <v>3019.3</v>
      </c>
      <c r="M130" s="2">
        <v>3095.25</v>
      </c>
      <c r="N130" s="2">
        <v>3350</v>
      </c>
      <c r="O130" s="2">
        <v>1775.8</v>
      </c>
      <c r="P130" s="2">
        <v>1703646</v>
      </c>
      <c r="Q130" s="2">
        <v>151256</v>
      </c>
    </row>
    <row r="131" spans="1:17" x14ac:dyDescent="0.3">
      <c r="A131" s="1">
        <v>45401</v>
      </c>
      <c r="B131" s="1" t="str">
        <f>TEXT(A131,"dddd")</f>
        <v>Friday</v>
      </c>
      <c r="C131" s="1" t="str">
        <f>TEXT(A131,"mmmm")</f>
        <v>April</v>
      </c>
      <c r="D131" s="1" t="str">
        <f>"Q"&amp;ROUNDUP(MONTH(A131)/3,0)</f>
        <v>Q2</v>
      </c>
      <c r="E131" s="1" t="str">
        <f>TEXT(A131,"yyyy")</f>
        <v>2024</v>
      </c>
      <c r="F131" t="s">
        <v>13</v>
      </c>
      <c r="G131" s="2">
        <v>3000</v>
      </c>
      <c r="H131" s="2">
        <v>3057.05</v>
      </c>
      <c r="I131" s="2">
        <v>2962.5</v>
      </c>
      <c r="J131" s="2">
        <v>3019.3</v>
      </c>
      <c r="K131" s="2">
        <v>3032</v>
      </c>
      <c r="L131" s="2">
        <v>3026.95</v>
      </c>
      <c r="M131" s="2">
        <v>3020.56</v>
      </c>
      <c r="N131" s="2">
        <v>3350</v>
      </c>
      <c r="O131" s="2">
        <v>1775.8</v>
      </c>
      <c r="P131" s="2">
        <v>1727317</v>
      </c>
      <c r="Q131" s="2">
        <v>151256</v>
      </c>
    </row>
    <row r="132" spans="1:17" x14ac:dyDescent="0.3">
      <c r="A132" s="1">
        <v>45404</v>
      </c>
      <c r="B132" s="1" t="str">
        <f>TEXT(A132,"dddd")</f>
        <v>Monday</v>
      </c>
      <c r="C132" s="1" t="str">
        <f>TEXT(A132,"mmmm")</f>
        <v>April</v>
      </c>
      <c r="D132" s="1" t="str">
        <f>"Q"&amp;ROUNDUP(MONTH(A132)/3,0)</f>
        <v>Q2</v>
      </c>
      <c r="E132" s="1" t="str">
        <f>TEXT(A132,"yyyy")</f>
        <v>2024</v>
      </c>
      <c r="F132" t="s">
        <v>13</v>
      </c>
      <c r="G132" s="2">
        <v>3053</v>
      </c>
      <c r="H132" s="2">
        <v>3077.5</v>
      </c>
      <c r="I132" s="2">
        <v>3025</v>
      </c>
      <c r="J132" s="2">
        <v>3026.95</v>
      </c>
      <c r="K132" s="2">
        <v>3072.25</v>
      </c>
      <c r="L132" s="2">
        <v>3063.35</v>
      </c>
      <c r="M132" s="2">
        <v>3050.24</v>
      </c>
      <c r="N132" s="2">
        <v>3350</v>
      </c>
      <c r="O132" s="2">
        <v>1775.8</v>
      </c>
      <c r="P132" s="2">
        <v>993929</v>
      </c>
      <c r="Q132" s="2">
        <v>151256</v>
      </c>
    </row>
    <row r="133" spans="1:17" x14ac:dyDescent="0.3">
      <c r="A133" s="1">
        <v>45405</v>
      </c>
      <c r="B133" s="1" t="str">
        <f>TEXT(A133,"dddd")</f>
        <v>Tuesday</v>
      </c>
      <c r="C133" s="1" t="str">
        <f>TEXT(A133,"mmmm")</f>
        <v>April</v>
      </c>
      <c r="D133" s="1" t="str">
        <f>"Q"&amp;ROUNDUP(MONTH(A133)/3,0)</f>
        <v>Q2</v>
      </c>
      <c r="E133" s="1" t="str">
        <f>TEXT(A133,"yyyy")</f>
        <v>2024</v>
      </c>
      <c r="F133" t="s">
        <v>13</v>
      </c>
      <c r="G133" s="2">
        <v>3059</v>
      </c>
      <c r="H133" s="2">
        <v>3091</v>
      </c>
      <c r="I133" s="2">
        <v>3043.1</v>
      </c>
      <c r="J133" s="2">
        <v>3063.35</v>
      </c>
      <c r="K133" s="2">
        <v>3058</v>
      </c>
      <c r="L133" s="2">
        <v>3065.1</v>
      </c>
      <c r="M133" s="2">
        <v>3066.74</v>
      </c>
      <c r="N133" s="2">
        <v>3350</v>
      </c>
      <c r="O133" s="2">
        <v>1775.8</v>
      </c>
      <c r="P133" s="2">
        <v>1654272</v>
      </c>
      <c r="Q133" s="2">
        <v>151256</v>
      </c>
    </row>
    <row r="134" spans="1:17" x14ac:dyDescent="0.3">
      <c r="A134" s="1">
        <v>45406</v>
      </c>
      <c r="B134" s="1" t="str">
        <f>TEXT(A134,"dddd")</f>
        <v>Wednesday</v>
      </c>
      <c r="C134" s="1" t="str">
        <f>TEXT(A134,"mmmm")</f>
        <v>April</v>
      </c>
      <c r="D134" s="1" t="str">
        <f>"Q"&amp;ROUNDUP(MONTH(A134)/3,0)</f>
        <v>Q2</v>
      </c>
      <c r="E134" s="1" t="str">
        <f>TEXT(A134,"yyyy")</f>
        <v>2024</v>
      </c>
      <c r="F134" t="s">
        <v>13</v>
      </c>
      <c r="G134" s="2">
        <v>3071.95</v>
      </c>
      <c r="H134" s="2">
        <v>3087.85</v>
      </c>
      <c r="I134" s="2">
        <v>3040</v>
      </c>
      <c r="J134" s="2">
        <v>3065.1</v>
      </c>
      <c r="K134" s="2">
        <v>3042.9</v>
      </c>
      <c r="L134" s="2">
        <v>3043.55</v>
      </c>
      <c r="M134" s="2">
        <v>3066.42</v>
      </c>
      <c r="N134" s="2">
        <v>3350</v>
      </c>
      <c r="O134" s="2">
        <v>1775.8</v>
      </c>
      <c r="P134" s="2">
        <v>605917</v>
      </c>
      <c r="Q134" s="2">
        <v>151256</v>
      </c>
    </row>
    <row r="135" spans="1:17" x14ac:dyDescent="0.3">
      <c r="A135" s="1">
        <v>45407</v>
      </c>
      <c r="B135" s="1" t="str">
        <f>TEXT(A135,"dddd")</f>
        <v>Thursday</v>
      </c>
      <c r="C135" s="1" t="str">
        <f>TEXT(A135,"mmmm")</f>
        <v>April</v>
      </c>
      <c r="D135" s="1" t="str">
        <f>"Q"&amp;ROUNDUP(MONTH(A135)/3,0)</f>
        <v>Q2</v>
      </c>
      <c r="E135" s="1" t="str">
        <f>TEXT(A135,"yyyy")</f>
        <v>2024</v>
      </c>
      <c r="F135" t="s">
        <v>13</v>
      </c>
      <c r="G135" s="2">
        <v>3050</v>
      </c>
      <c r="H135" s="2">
        <v>3120.9</v>
      </c>
      <c r="I135" s="2">
        <v>3025.65</v>
      </c>
      <c r="J135" s="2">
        <v>3043.55</v>
      </c>
      <c r="K135" s="2">
        <v>3115</v>
      </c>
      <c r="L135" s="2">
        <v>3115.25</v>
      </c>
      <c r="M135" s="2">
        <v>3078.5</v>
      </c>
      <c r="N135" s="2">
        <v>3350</v>
      </c>
      <c r="O135" s="2">
        <v>1775.8</v>
      </c>
      <c r="P135" s="2">
        <v>1515529</v>
      </c>
      <c r="Q135" s="2">
        <v>151256</v>
      </c>
    </row>
    <row r="136" spans="1:17" x14ac:dyDescent="0.3">
      <c r="A136" s="1">
        <v>45408</v>
      </c>
      <c r="B136" s="1" t="str">
        <f>TEXT(A136,"dddd")</f>
        <v>Friday</v>
      </c>
      <c r="C136" s="1" t="str">
        <f>TEXT(A136,"mmmm")</f>
        <v>April</v>
      </c>
      <c r="D136" s="1" t="str">
        <f>"Q"&amp;ROUNDUP(MONTH(A136)/3,0)</f>
        <v>Q2</v>
      </c>
      <c r="E136" s="1" t="str">
        <f>TEXT(A136,"yyyy")</f>
        <v>2024</v>
      </c>
      <c r="F136" t="s">
        <v>13</v>
      </c>
      <c r="G136" s="2">
        <v>3119.9</v>
      </c>
      <c r="H136" s="2">
        <v>3129.9</v>
      </c>
      <c r="I136" s="2">
        <v>3066.05</v>
      </c>
      <c r="J136" s="2">
        <v>3115.25</v>
      </c>
      <c r="K136" s="2">
        <v>3089</v>
      </c>
      <c r="L136" s="2">
        <v>3080.4</v>
      </c>
      <c r="M136" s="2">
        <v>3090.2</v>
      </c>
      <c r="N136" s="2">
        <v>3350</v>
      </c>
      <c r="O136" s="2">
        <v>1775.8</v>
      </c>
      <c r="P136" s="2">
        <v>662764</v>
      </c>
      <c r="Q136" s="2">
        <v>151256</v>
      </c>
    </row>
    <row r="137" spans="1:17" x14ac:dyDescent="0.3">
      <c r="A137" s="1">
        <v>45411</v>
      </c>
      <c r="B137" s="1" t="str">
        <f>TEXT(A137,"dddd")</f>
        <v>Monday</v>
      </c>
      <c r="C137" s="1" t="str">
        <f>TEXT(A137,"mmmm")</f>
        <v>April</v>
      </c>
      <c r="D137" s="1" t="str">
        <f>"Q"&amp;ROUNDUP(MONTH(A137)/3,0)</f>
        <v>Q2</v>
      </c>
      <c r="E137" s="1" t="str">
        <f>TEXT(A137,"yyyy")</f>
        <v>2024</v>
      </c>
      <c r="F137" t="s">
        <v>13</v>
      </c>
      <c r="G137" s="2">
        <v>3110</v>
      </c>
      <c r="H137" s="2">
        <v>3110.5</v>
      </c>
      <c r="I137" s="2">
        <v>3051.5</v>
      </c>
      <c r="J137" s="2">
        <v>3080.4</v>
      </c>
      <c r="K137" s="2">
        <v>3080</v>
      </c>
      <c r="L137" s="2">
        <v>3081.2</v>
      </c>
      <c r="M137" s="2">
        <v>3079</v>
      </c>
      <c r="N137" s="2">
        <v>3350</v>
      </c>
      <c r="O137" s="2">
        <v>1785.35</v>
      </c>
      <c r="P137" s="2">
        <v>648544</v>
      </c>
      <c r="Q137" s="2">
        <v>151256</v>
      </c>
    </row>
    <row r="138" spans="1:17" x14ac:dyDescent="0.3">
      <c r="A138" s="1">
        <v>45412</v>
      </c>
      <c r="B138" s="1" t="str">
        <f>TEXT(A138,"dddd")</f>
        <v>Tuesday</v>
      </c>
      <c r="C138" s="1" t="str">
        <f>TEXT(A138,"mmmm")</f>
        <v>April</v>
      </c>
      <c r="D138" s="1" t="str">
        <f>"Q"&amp;ROUNDUP(MONTH(A138)/3,0)</f>
        <v>Q2</v>
      </c>
      <c r="E138" s="1" t="str">
        <f>TEXT(A138,"yyyy")</f>
        <v>2024</v>
      </c>
      <c r="F138" t="s">
        <v>13</v>
      </c>
      <c r="G138" s="2">
        <v>3094</v>
      </c>
      <c r="H138" s="2">
        <v>3108.45</v>
      </c>
      <c r="I138" s="2">
        <v>3045</v>
      </c>
      <c r="J138" s="2">
        <v>3081.2</v>
      </c>
      <c r="K138" s="2">
        <v>3052.5</v>
      </c>
      <c r="L138" s="2">
        <v>3054.7</v>
      </c>
      <c r="M138" s="2">
        <v>3074.15</v>
      </c>
      <c r="N138" s="2">
        <v>3350</v>
      </c>
      <c r="O138" s="2">
        <v>1785.35</v>
      </c>
      <c r="P138" s="2">
        <v>804552</v>
      </c>
      <c r="Q138" s="2">
        <v>151256</v>
      </c>
    </row>
    <row r="139" spans="1:17" x14ac:dyDescent="0.3">
      <c r="A139" s="1">
        <v>45414</v>
      </c>
      <c r="B139" s="1" t="str">
        <f>TEXT(A139,"dddd")</f>
        <v>Thursday</v>
      </c>
      <c r="C139" s="1" t="str">
        <f>TEXT(A139,"mmmm")</f>
        <v>May</v>
      </c>
      <c r="D139" s="1" t="str">
        <f>"Q"&amp;ROUNDUP(MONTH(A139)/3,0)</f>
        <v>Q2</v>
      </c>
      <c r="E139" s="1" t="str">
        <f>TEXT(A139,"yyyy")</f>
        <v>2024</v>
      </c>
      <c r="F139" t="s">
        <v>13</v>
      </c>
      <c r="G139" s="2">
        <v>3071.95</v>
      </c>
      <c r="H139" s="2">
        <v>3119.85</v>
      </c>
      <c r="I139" s="2">
        <v>3015.05</v>
      </c>
      <c r="J139" s="2">
        <v>3054.7</v>
      </c>
      <c r="K139" s="2">
        <v>3029</v>
      </c>
      <c r="L139" s="2">
        <v>3039.6</v>
      </c>
      <c r="M139" s="2">
        <v>3065.29</v>
      </c>
      <c r="N139" s="2">
        <v>3350</v>
      </c>
      <c r="O139" s="2">
        <v>1785.35</v>
      </c>
      <c r="P139" s="2">
        <v>2219085</v>
      </c>
      <c r="Q139" s="2">
        <v>151256</v>
      </c>
    </row>
    <row r="140" spans="1:17" x14ac:dyDescent="0.3">
      <c r="A140" s="1">
        <v>45415</v>
      </c>
      <c r="B140" s="1" t="str">
        <f>TEXT(A140,"dddd")</f>
        <v>Friday</v>
      </c>
      <c r="C140" s="1" t="str">
        <f>TEXT(A140,"mmmm")</f>
        <v>May</v>
      </c>
      <c r="D140" s="1" t="str">
        <f>"Q"&amp;ROUNDUP(MONTH(A140)/3,0)</f>
        <v>Q2</v>
      </c>
      <c r="E140" s="1" t="str">
        <f>TEXT(A140,"yyyy")</f>
        <v>2024</v>
      </c>
      <c r="F140" t="s">
        <v>13</v>
      </c>
      <c r="G140" s="2">
        <v>3030</v>
      </c>
      <c r="H140" s="2">
        <v>3045</v>
      </c>
      <c r="I140" s="2">
        <v>2975.1</v>
      </c>
      <c r="J140" s="2">
        <v>3039.6</v>
      </c>
      <c r="K140" s="2">
        <v>2990</v>
      </c>
      <c r="L140" s="2">
        <v>2993.25</v>
      </c>
      <c r="M140" s="2">
        <v>3007.11</v>
      </c>
      <c r="N140" s="2">
        <v>3350</v>
      </c>
      <c r="O140" s="2">
        <v>1785.35</v>
      </c>
      <c r="P140" s="2">
        <v>1472168</v>
      </c>
      <c r="Q140" s="2">
        <v>151256</v>
      </c>
    </row>
    <row r="141" spans="1:17" x14ac:dyDescent="0.3">
      <c r="A141" s="1">
        <v>45418</v>
      </c>
      <c r="B141" s="1" t="str">
        <f>TEXT(A141,"dddd")</f>
        <v>Monday</v>
      </c>
      <c r="C141" s="1" t="str">
        <f>TEXT(A141,"mmmm")</f>
        <v>May</v>
      </c>
      <c r="D141" s="1" t="str">
        <f>"Q"&amp;ROUNDUP(MONTH(A141)/3,0)</f>
        <v>Q2</v>
      </c>
      <c r="E141" s="1" t="str">
        <f>TEXT(A141,"yyyy")</f>
        <v>2024</v>
      </c>
      <c r="F141" t="s">
        <v>13</v>
      </c>
      <c r="G141" s="2">
        <v>2993.25</v>
      </c>
      <c r="H141" s="2">
        <v>3000.2</v>
      </c>
      <c r="I141" s="2">
        <v>2850</v>
      </c>
      <c r="J141" s="2">
        <v>2993.25</v>
      </c>
      <c r="K141" s="2">
        <v>2872</v>
      </c>
      <c r="L141" s="2">
        <v>2874.65</v>
      </c>
      <c r="M141" s="2">
        <v>2890.39</v>
      </c>
      <c r="N141" s="2">
        <v>3350</v>
      </c>
      <c r="O141" s="2">
        <v>1857.75</v>
      </c>
      <c r="P141" s="2">
        <v>2377944</v>
      </c>
      <c r="Q141" s="2">
        <v>151256</v>
      </c>
    </row>
    <row r="142" spans="1:17" x14ac:dyDescent="0.3">
      <c r="A142" s="1">
        <v>45419</v>
      </c>
      <c r="B142" s="1" t="str">
        <f>TEXT(A142,"dddd")</f>
        <v>Tuesday</v>
      </c>
      <c r="C142" s="1" t="str">
        <f>TEXT(A142,"mmmm")</f>
        <v>May</v>
      </c>
      <c r="D142" s="1" t="str">
        <f>"Q"&amp;ROUNDUP(MONTH(A142)/3,0)</f>
        <v>Q2</v>
      </c>
      <c r="E142" s="1" t="str">
        <f>TEXT(A142,"yyyy")</f>
        <v>2024</v>
      </c>
      <c r="F142" t="s">
        <v>13</v>
      </c>
      <c r="G142" s="2">
        <v>2889.95</v>
      </c>
      <c r="H142" s="2">
        <v>2905.35</v>
      </c>
      <c r="I142" s="2">
        <v>2822</v>
      </c>
      <c r="J142" s="2">
        <v>2874.65</v>
      </c>
      <c r="K142" s="2">
        <v>2839</v>
      </c>
      <c r="L142" s="2">
        <v>2835.95</v>
      </c>
      <c r="M142" s="2">
        <v>2857.91</v>
      </c>
      <c r="N142" s="2">
        <v>3350</v>
      </c>
      <c r="O142" s="2">
        <v>1857.75</v>
      </c>
      <c r="P142" s="2">
        <v>1262311</v>
      </c>
      <c r="Q142" s="2">
        <v>151256</v>
      </c>
    </row>
    <row r="143" spans="1:17" x14ac:dyDescent="0.3">
      <c r="A143" s="1">
        <v>45420</v>
      </c>
      <c r="B143" s="1" t="str">
        <f>TEXT(A143,"dddd")</f>
        <v>Wednesday</v>
      </c>
      <c r="C143" s="1" t="str">
        <f>TEXT(A143,"mmmm")</f>
        <v>May</v>
      </c>
      <c r="D143" s="1" t="str">
        <f>"Q"&amp;ROUNDUP(MONTH(A143)/3,0)</f>
        <v>Q2</v>
      </c>
      <c r="E143" s="1" t="str">
        <f>TEXT(A143,"yyyy")</f>
        <v>2024</v>
      </c>
      <c r="F143" t="s">
        <v>13</v>
      </c>
      <c r="G143" s="2">
        <v>2850</v>
      </c>
      <c r="H143" s="2">
        <v>2890.9</v>
      </c>
      <c r="I143" s="2">
        <v>2820</v>
      </c>
      <c r="J143" s="2">
        <v>2835.95</v>
      </c>
      <c r="K143" s="2">
        <v>2862</v>
      </c>
      <c r="L143" s="2">
        <v>2860.55</v>
      </c>
      <c r="M143" s="2">
        <v>2860.65</v>
      </c>
      <c r="N143" s="2">
        <v>3350</v>
      </c>
      <c r="O143" s="2">
        <v>1857.75</v>
      </c>
      <c r="P143" s="2">
        <v>951411</v>
      </c>
      <c r="Q143" s="2">
        <v>151256</v>
      </c>
    </row>
    <row r="144" spans="1:17" x14ac:dyDescent="0.3">
      <c r="A144" s="1">
        <v>45421</v>
      </c>
      <c r="B144" s="1" t="str">
        <f>TEXT(A144,"dddd")</f>
        <v>Thursday</v>
      </c>
      <c r="C144" s="1" t="str">
        <f>TEXT(A144,"mmmm")</f>
        <v>May</v>
      </c>
      <c r="D144" s="1" t="str">
        <f>"Q"&amp;ROUNDUP(MONTH(A144)/3,0)</f>
        <v>Q2</v>
      </c>
      <c r="E144" s="1" t="str">
        <f>TEXT(A144,"yyyy")</f>
        <v>2024</v>
      </c>
      <c r="F144" t="s">
        <v>13</v>
      </c>
      <c r="G144" s="2">
        <v>2864.8</v>
      </c>
      <c r="H144" s="2">
        <v>2883.65</v>
      </c>
      <c r="I144" s="2">
        <v>2756</v>
      </c>
      <c r="J144" s="2">
        <v>2860.55</v>
      </c>
      <c r="K144" s="2">
        <v>2765</v>
      </c>
      <c r="L144" s="2">
        <v>2766.65</v>
      </c>
      <c r="M144" s="2">
        <v>2814.22</v>
      </c>
      <c r="N144" s="2">
        <v>3350</v>
      </c>
      <c r="O144" s="2">
        <v>1857.75</v>
      </c>
      <c r="P144" s="2">
        <v>1485510</v>
      </c>
      <c r="Q144" s="2">
        <v>151256</v>
      </c>
    </row>
    <row r="145" spans="1:17" x14ac:dyDescent="0.3">
      <c r="A145" s="1">
        <v>45422</v>
      </c>
      <c r="B145" s="1" t="str">
        <f>TEXT(A145,"dddd")</f>
        <v>Friday</v>
      </c>
      <c r="C145" s="1" t="str">
        <f>TEXT(A145,"mmmm")</f>
        <v>May</v>
      </c>
      <c r="D145" s="1" t="str">
        <f>"Q"&amp;ROUNDUP(MONTH(A145)/3,0)</f>
        <v>Q2</v>
      </c>
      <c r="E145" s="1" t="str">
        <f>TEXT(A145,"yyyy")</f>
        <v>2024</v>
      </c>
      <c r="F145" t="s">
        <v>13</v>
      </c>
      <c r="G145" s="2">
        <v>2794.95</v>
      </c>
      <c r="H145" s="2">
        <v>2809</v>
      </c>
      <c r="I145" s="2">
        <v>2760.45</v>
      </c>
      <c r="J145" s="2">
        <v>2766.65</v>
      </c>
      <c r="K145" s="2">
        <v>2803.9</v>
      </c>
      <c r="L145" s="2">
        <v>2797.25</v>
      </c>
      <c r="M145" s="2">
        <v>2791.48</v>
      </c>
      <c r="N145" s="2">
        <v>3350</v>
      </c>
      <c r="O145" s="2">
        <v>1857.75</v>
      </c>
      <c r="P145" s="2">
        <v>2354794</v>
      </c>
      <c r="Q145" s="2">
        <v>151256</v>
      </c>
    </row>
    <row r="146" spans="1:17" x14ac:dyDescent="0.3">
      <c r="A146" s="1">
        <v>45425</v>
      </c>
      <c r="B146" s="1" t="str">
        <f>TEXT(A146,"dddd")</f>
        <v>Monday</v>
      </c>
      <c r="C146" s="1" t="str">
        <f>TEXT(A146,"mmmm")</f>
        <v>May</v>
      </c>
      <c r="D146" s="1" t="str">
        <f>"Q"&amp;ROUNDUP(MONTH(A146)/3,0)</f>
        <v>Q2</v>
      </c>
      <c r="E146" s="1" t="str">
        <f>TEXT(A146,"yyyy")</f>
        <v>2024</v>
      </c>
      <c r="F146" t="s">
        <v>13</v>
      </c>
      <c r="G146" s="2">
        <v>2803</v>
      </c>
      <c r="H146" s="2">
        <v>2890</v>
      </c>
      <c r="I146" s="2">
        <v>2790.5</v>
      </c>
      <c r="J146" s="2">
        <v>2797.25</v>
      </c>
      <c r="K146" s="2">
        <v>2888.85</v>
      </c>
      <c r="L146" s="2">
        <v>2879.6</v>
      </c>
      <c r="M146" s="2">
        <v>2839.27</v>
      </c>
      <c r="N146" s="2">
        <v>3350</v>
      </c>
      <c r="O146" s="2">
        <v>1857.75</v>
      </c>
      <c r="P146" s="2">
        <v>3784373</v>
      </c>
      <c r="Q146" s="2">
        <v>151256</v>
      </c>
    </row>
    <row r="147" spans="1:17" x14ac:dyDescent="0.3">
      <c r="A147" s="1">
        <v>45426</v>
      </c>
      <c r="B147" s="1" t="str">
        <f>TEXT(A147,"dddd")</f>
        <v>Tuesday</v>
      </c>
      <c r="C147" s="1" t="str">
        <f>TEXT(A147,"mmmm")</f>
        <v>May</v>
      </c>
      <c r="D147" s="1" t="str">
        <f>"Q"&amp;ROUNDUP(MONTH(A147)/3,0)</f>
        <v>Q2</v>
      </c>
      <c r="E147" s="1" t="str">
        <f>TEXT(A147,"yyyy")</f>
        <v>2024</v>
      </c>
      <c r="F147" t="s">
        <v>13</v>
      </c>
      <c r="G147" s="2">
        <v>2894.95</v>
      </c>
      <c r="H147" s="2">
        <v>3046</v>
      </c>
      <c r="I147" s="2">
        <v>2874.55</v>
      </c>
      <c r="J147" s="2">
        <v>2879.6</v>
      </c>
      <c r="K147" s="2">
        <v>3035</v>
      </c>
      <c r="L147" s="2">
        <v>3037.55</v>
      </c>
      <c r="M147" s="2">
        <v>2995.85</v>
      </c>
      <c r="N147" s="2">
        <v>3350</v>
      </c>
      <c r="O147" s="2">
        <v>1857.75</v>
      </c>
      <c r="P147" s="2">
        <v>5725807</v>
      </c>
      <c r="Q147" s="2">
        <v>151256</v>
      </c>
    </row>
    <row r="148" spans="1:17" x14ac:dyDescent="0.3">
      <c r="A148" s="1">
        <v>45427</v>
      </c>
      <c r="B148" s="1" t="str">
        <f>TEXT(A148,"dddd")</f>
        <v>Wednesday</v>
      </c>
      <c r="C148" s="1" t="str">
        <f>TEXT(A148,"mmmm")</f>
        <v>May</v>
      </c>
      <c r="D148" s="1" t="str">
        <f>"Q"&amp;ROUNDUP(MONTH(A148)/3,0)</f>
        <v>Q2</v>
      </c>
      <c r="E148" s="1" t="str">
        <f>TEXT(A148,"yyyy")</f>
        <v>2024</v>
      </c>
      <c r="F148" t="s">
        <v>13</v>
      </c>
      <c r="G148" s="2">
        <v>3046.75</v>
      </c>
      <c r="H148" s="2">
        <v>3118.85</v>
      </c>
      <c r="I148" s="2">
        <v>3037.6</v>
      </c>
      <c r="J148" s="2">
        <v>3037.55</v>
      </c>
      <c r="K148" s="2">
        <v>3047</v>
      </c>
      <c r="L148" s="2">
        <v>3049.75</v>
      </c>
      <c r="M148" s="2">
        <v>3074.65</v>
      </c>
      <c r="N148" s="2">
        <v>3350</v>
      </c>
      <c r="O148" s="2">
        <v>1857.75</v>
      </c>
      <c r="P148" s="2">
        <v>1688836</v>
      </c>
      <c r="Q148" s="2">
        <v>151256</v>
      </c>
    </row>
    <row r="149" spans="1:17" x14ac:dyDescent="0.3">
      <c r="A149" s="1">
        <v>45428</v>
      </c>
      <c r="B149" s="1" t="str">
        <f>TEXT(A149,"dddd")</f>
        <v>Thursday</v>
      </c>
      <c r="C149" s="1" t="str">
        <f>TEXT(A149,"mmmm")</f>
        <v>May</v>
      </c>
      <c r="D149" s="1" t="str">
        <f>"Q"&amp;ROUNDUP(MONTH(A149)/3,0)</f>
        <v>Q2</v>
      </c>
      <c r="E149" s="1" t="str">
        <f>TEXT(A149,"yyyy")</f>
        <v>2024</v>
      </c>
      <c r="F149" t="s">
        <v>13</v>
      </c>
      <c r="G149" s="2">
        <v>3065</v>
      </c>
      <c r="H149" s="2">
        <v>3076.95</v>
      </c>
      <c r="I149" s="2">
        <v>2974.95</v>
      </c>
      <c r="J149" s="2">
        <v>3049.75</v>
      </c>
      <c r="K149" s="2">
        <v>3034.05</v>
      </c>
      <c r="L149" s="2">
        <v>3041.65</v>
      </c>
      <c r="M149" s="2">
        <v>3022.05</v>
      </c>
      <c r="N149" s="2">
        <v>3350</v>
      </c>
      <c r="O149" s="2">
        <v>1857.75</v>
      </c>
      <c r="P149" s="2">
        <v>1835312</v>
      </c>
      <c r="Q149" s="2">
        <v>151256</v>
      </c>
    </row>
    <row r="150" spans="1:17" x14ac:dyDescent="0.3">
      <c r="A150" s="1">
        <v>45429</v>
      </c>
      <c r="B150" s="1" t="str">
        <f>TEXT(A150,"dddd")</f>
        <v>Friday</v>
      </c>
      <c r="C150" s="1" t="str">
        <f>TEXT(A150,"mmmm")</f>
        <v>May</v>
      </c>
      <c r="D150" s="1" t="str">
        <f>"Q"&amp;ROUNDUP(MONTH(A150)/3,0)</f>
        <v>Q2</v>
      </c>
      <c r="E150" s="1" t="str">
        <f>TEXT(A150,"yyyy")</f>
        <v>2024</v>
      </c>
      <c r="F150" t="s">
        <v>13</v>
      </c>
      <c r="G150" s="2">
        <v>3041.05</v>
      </c>
      <c r="H150" s="2">
        <v>3091</v>
      </c>
      <c r="I150" s="2">
        <v>3015.5</v>
      </c>
      <c r="J150" s="2">
        <v>3041.65</v>
      </c>
      <c r="K150" s="2">
        <v>3057</v>
      </c>
      <c r="L150" s="2">
        <v>3060.5</v>
      </c>
      <c r="M150" s="2">
        <v>3053.08</v>
      </c>
      <c r="N150" s="2">
        <v>3350</v>
      </c>
      <c r="O150" s="2">
        <v>1857.75</v>
      </c>
      <c r="P150" s="2">
        <v>825436</v>
      </c>
      <c r="Q150" s="2">
        <v>151256</v>
      </c>
    </row>
    <row r="151" spans="1:17" x14ac:dyDescent="0.3">
      <c r="A151" s="1">
        <v>45430</v>
      </c>
      <c r="B151" s="1" t="str">
        <f>TEXT(A151,"dddd")</f>
        <v>Saturday</v>
      </c>
      <c r="C151" s="1" t="str">
        <f>TEXT(A151,"mmmm")</f>
        <v>May</v>
      </c>
      <c r="D151" s="1" t="str">
        <f>"Q"&amp;ROUNDUP(MONTH(A151)/3,0)</f>
        <v>Q2</v>
      </c>
      <c r="E151" s="1" t="str">
        <f>TEXT(A151,"yyyy")</f>
        <v>2024</v>
      </c>
      <c r="F151" t="s">
        <v>13</v>
      </c>
      <c r="G151" s="2">
        <v>3074</v>
      </c>
      <c r="H151" s="2">
        <v>3074</v>
      </c>
      <c r="I151" s="2">
        <v>3055</v>
      </c>
      <c r="J151" s="2">
        <v>3060.5</v>
      </c>
      <c r="K151" s="2">
        <v>3061</v>
      </c>
      <c r="L151" s="2">
        <v>3059.75</v>
      </c>
      <c r="M151" s="2">
        <v>3064.28</v>
      </c>
      <c r="N151" s="2">
        <v>3350</v>
      </c>
      <c r="O151" s="2">
        <v>1857.75</v>
      </c>
      <c r="P151" s="2">
        <v>74336</v>
      </c>
      <c r="Q151" s="2">
        <v>151256</v>
      </c>
    </row>
    <row r="152" spans="1:17" x14ac:dyDescent="0.3">
      <c r="A152" s="1">
        <v>45433</v>
      </c>
      <c r="B152" s="1" t="str">
        <f>TEXT(A152,"dddd")</f>
        <v>Tuesday</v>
      </c>
      <c r="C152" s="1" t="str">
        <f>TEXT(A152,"mmmm")</f>
        <v>May</v>
      </c>
      <c r="D152" s="1" t="str">
        <f>"Q"&amp;ROUNDUP(MONTH(A152)/3,0)</f>
        <v>Q2</v>
      </c>
      <c r="E152" s="1" t="str">
        <f>TEXT(A152,"yyyy")</f>
        <v>2024</v>
      </c>
      <c r="F152" t="s">
        <v>13</v>
      </c>
      <c r="G152" s="2">
        <v>3067.9</v>
      </c>
      <c r="H152" s="2">
        <v>3175</v>
      </c>
      <c r="I152" s="2">
        <v>3034.5</v>
      </c>
      <c r="J152" s="2">
        <v>3059.75</v>
      </c>
      <c r="K152" s="2">
        <v>3110</v>
      </c>
      <c r="L152" s="2">
        <v>3117.5</v>
      </c>
      <c r="M152" s="2">
        <v>3123.72</v>
      </c>
      <c r="N152" s="2">
        <v>3350</v>
      </c>
      <c r="O152" s="2">
        <v>1983.4</v>
      </c>
      <c r="P152" s="2">
        <v>3091659</v>
      </c>
      <c r="Q152" s="2">
        <v>151256</v>
      </c>
    </row>
    <row r="153" spans="1:17" x14ac:dyDescent="0.3">
      <c r="A153" s="1">
        <v>45434</v>
      </c>
      <c r="B153" s="1" t="str">
        <f>TEXT(A153,"dddd")</f>
        <v>Wednesday</v>
      </c>
      <c r="C153" s="1" t="str">
        <f>TEXT(A153,"mmmm")</f>
        <v>May</v>
      </c>
      <c r="D153" s="1" t="str">
        <f>"Q"&amp;ROUNDUP(MONTH(A153)/3,0)</f>
        <v>Q2</v>
      </c>
      <c r="E153" s="1" t="str">
        <f>TEXT(A153,"yyyy")</f>
        <v>2024</v>
      </c>
      <c r="F153" t="s">
        <v>13</v>
      </c>
      <c r="G153" s="2">
        <v>3129.95</v>
      </c>
      <c r="H153" s="2">
        <v>3145</v>
      </c>
      <c r="I153" s="2">
        <v>3073.5</v>
      </c>
      <c r="J153" s="2">
        <v>3117.5</v>
      </c>
      <c r="K153" s="2">
        <v>3137</v>
      </c>
      <c r="L153" s="2">
        <v>3140.95</v>
      </c>
      <c r="M153" s="2">
        <v>3121.08</v>
      </c>
      <c r="N153" s="2">
        <v>3350</v>
      </c>
      <c r="O153" s="2">
        <v>1983.4</v>
      </c>
      <c r="P153" s="2">
        <v>3371077</v>
      </c>
      <c r="Q153" s="2">
        <v>151256</v>
      </c>
    </row>
    <row r="154" spans="1:17" x14ac:dyDescent="0.3">
      <c r="A154" s="1">
        <v>45435</v>
      </c>
      <c r="B154" s="1" t="str">
        <f>TEXT(A154,"dddd")</f>
        <v>Thursday</v>
      </c>
      <c r="C154" s="1" t="str">
        <f>TEXT(A154,"mmmm")</f>
        <v>May</v>
      </c>
      <c r="D154" s="1" t="str">
        <f>"Q"&amp;ROUNDUP(MONTH(A154)/3,0)</f>
        <v>Q2</v>
      </c>
      <c r="E154" s="1" t="str">
        <f>TEXT(A154,"yyyy")</f>
        <v>2024</v>
      </c>
      <c r="F154" t="s">
        <v>13</v>
      </c>
      <c r="G154" s="2">
        <v>3156.7</v>
      </c>
      <c r="H154" s="2">
        <v>3406</v>
      </c>
      <c r="I154" s="2">
        <v>3135.55</v>
      </c>
      <c r="J154" s="2">
        <v>3140.95</v>
      </c>
      <c r="K154" s="2">
        <v>3398.2</v>
      </c>
      <c r="L154" s="2">
        <v>3387.3</v>
      </c>
      <c r="M154" s="2">
        <v>3302.83</v>
      </c>
      <c r="N154" s="2">
        <v>3406</v>
      </c>
      <c r="O154" s="2">
        <v>1983.4</v>
      </c>
      <c r="P154" s="2">
        <v>6979082</v>
      </c>
      <c r="Q154" s="2">
        <v>151256</v>
      </c>
    </row>
    <row r="155" spans="1:17" x14ac:dyDescent="0.3">
      <c r="A155" s="1">
        <v>45436</v>
      </c>
      <c r="B155" s="1" t="str">
        <f>TEXT(A155,"dddd")</f>
        <v>Friday</v>
      </c>
      <c r="C155" s="1" t="str">
        <f>TEXT(A155,"mmmm")</f>
        <v>May</v>
      </c>
      <c r="D155" s="1" t="str">
        <f>"Q"&amp;ROUNDUP(MONTH(A155)/3,0)</f>
        <v>Q2</v>
      </c>
      <c r="E155" s="1" t="str">
        <f>TEXT(A155,"yyyy")</f>
        <v>2024</v>
      </c>
      <c r="F155" t="s">
        <v>13</v>
      </c>
      <c r="G155" s="2">
        <v>3406</v>
      </c>
      <c r="H155" s="2">
        <v>3457.85</v>
      </c>
      <c r="I155" s="2">
        <v>3355.6</v>
      </c>
      <c r="J155" s="2">
        <v>3387.3</v>
      </c>
      <c r="K155" s="2">
        <v>3381</v>
      </c>
      <c r="L155" s="2">
        <v>3384.95</v>
      </c>
      <c r="M155" s="2">
        <v>3409.34</v>
      </c>
      <c r="N155" s="2">
        <v>3457.85</v>
      </c>
      <c r="O155" s="2">
        <v>1983.4</v>
      </c>
      <c r="P155" s="2">
        <v>3473668</v>
      </c>
      <c r="Q155" s="2">
        <v>151256</v>
      </c>
    </row>
    <row r="156" spans="1:17" x14ac:dyDescent="0.3">
      <c r="A156" s="1">
        <v>45439</v>
      </c>
      <c r="B156" s="1" t="str">
        <f>TEXT(A156,"dddd")</f>
        <v>Monday</v>
      </c>
      <c r="C156" s="1" t="str">
        <f>TEXT(A156,"mmmm")</f>
        <v>May</v>
      </c>
      <c r="D156" s="1" t="str">
        <f>"Q"&amp;ROUNDUP(MONTH(A156)/3,0)</f>
        <v>Q2</v>
      </c>
      <c r="E156" s="1" t="str">
        <f>TEXT(A156,"yyyy")</f>
        <v>2024</v>
      </c>
      <c r="F156" t="s">
        <v>13</v>
      </c>
      <c r="G156" s="2">
        <v>3358</v>
      </c>
      <c r="H156" s="2">
        <v>3358</v>
      </c>
      <c r="I156" s="2">
        <v>3267.05</v>
      </c>
      <c r="J156" s="2">
        <v>3384.95</v>
      </c>
      <c r="K156" s="2">
        <v>3295.05</v>
      </c>
      <c r="L156" s="2">
        <v>3289.05</v>
      </c>
      <c r="M156" s="2">
        <v>3307.4</v>
      </c>
      <c r="N156" s="2">
        <v>3457.85</v>
      </c>
      <c r="O156" s="2">
        <v>2142</v>
      </c>
      <c r="P156" s="2">
        <v>2582485</v>
      </c>
      <c r="Q156" s="2">
        <v>151256</v>
      </c>
    </row>
    <row r="157" spans="1:17" x14ac:dyDescent="0.3">
      <c r="A157" s="1">
        <v>45440</v>
      </c>
      <c r="B157" s="1" t="str">
        <f>TEXT(A157,"dddd")</f>
        <v>Tuesday</v>
      </c>
      <c r="C157" s="1" t="str">
        <f>TEXT(A157,"mmmm")</f>
        <v>May</v>
      </c>
      <c r="D157" s="1" t="str">
        <f>"Q"&amp;ROUNDUP(MONTH(A157)/3,0)</f>
        <v>Q2</v>
      </c>
      <c r="E157" s="1" t="str">
        <f>TEXT(A157,"yyyy")</f>
        <v>2024</v>
      </c>
      <c r="F157" t="s">
        <v>13</v>
      </c>
      <c r="G157" s="2">
        <v>3309.65</v>
      </c>
      <c r="H157" s="2">
        <v>3329.5</v>
      </c>
      <c r="I157" s="2">
        <v>3229.05</v>
      </c>
      <c r="J157" s="2">
        <v>3289.05</v>
      </c>
      <c r="K157" s="2">
        <v>3239</v>
      </c>
      <c r="L157" s="2">
        <v>3244.05</v>
      </c>
      <c r="M157" s="2">
        <v>3282.72</v>
      </c>
      <c r="N157" s="2">
        <v>3457.85</v>
      </c>
      <c r="O157" s="2">
        <v>2142</v>
      </c>
      <c r="P157" s="2">
        <v>1621168</v>
      </c>
      <c r="Q157" s="2">
        <v>151256</v>
      </c>
    </row>
    <row r="158" spans="1:17" x14ac:dyDescent="0.3">
      <c r="A158" s="1">
        <v>45441</v>
      </c>
      <c r="B158" s="1" t="str">
        <f>TEXT(A158,"dddd")</f>
        <v>Wednesday</v>
      </c>
      <c r="C158" s="1" t="str">
        <f>TEXT(A158,"mmmm")</f>
        <v>May</v>
      </c>
      <c r="D158" s="1" t="str">
        <f>"Q"&amp;ROUNDUP(MONTH(A158)/3,0)</f>
        <v>Q2</v>
      </c>
      <c r="E158" s="1" t="str">
        <f>TEXT(A158,"yyyy")</f>
        <v>2024</v>
      </c>
      <c r="F158" t="s">
        <v>13</v>
      </c>
      <c r="G158" s="2">
        <v>3250</v>
      </c>
      <c r="H158" s="2">
        <v>3322.9</v>
      </c>
      <c r="I158" s="2">
        <v>3212</v>
      </c>
      <c r="J158" s="2">
        <v>3244.05</v>
      </c>
      <c r="K158" s="2">
        <v>3255</v>
      </c>
      <c r="L158" s="2">
        <v>3258.8</v>
      </c>
      <c r="M158" s="2">
        <v>3270.3</v>
      </c>
      <c r="N158" s="2">
        <v>3457.85</v>
      </c>
      <c r="O158" s="2">
        <v>2142</v>
      </c>
      <c r="P158" s="2">
        <v>1910729</v>
      </c>
      <c r="Q158" s="2">
        <v>151256</v>
      </c>
    </row>
    <row r="159" spans="1:17" x14ac:dyDescent="0.3">
      <c r="A159" s="1">
        <v>45442</v>
      </c>
      <c r="B159" s="1" t="str">
        <f>TEXT(A159,"dddd")</f>
        <v>Thursday</v>
      </c>
      <c r="C159" s="1" t="str">
        <f>TEXT(A159,"mmmm")</f>
        <v>May</v>
      </c>
      <c r="D159" s="1" t="str">
        <f>"Q"&amp;ROUNDUP(MONTH(A159)/3,0)</f>
        <v>Q2</v>
      </c>
      <c r="E159" s="1" t="str">
        <f>TEXT(A159,"yyyy")</f>
        <v>2024</v>
      </c>
      <c r="F159" t="s">
        <v>13</v>
      </c>
      <c r="G159" s="2">
        <v>3254</v>
      </c>
      <c r="H159" s="2">
        <v>3274.3</v>
      </c>
      <c r="I159" s="2">
        <v>3174.5</v>
      </c>
      <c r="J159" s="2">
        <v>3258.8</v>
      </c>
      <c r="K159" s="2">
        <v>3209.9</v>
      </c>
      <c r="L159" s="2">
        <v>3194.25</v>
      </c>
      <c r="M159" s="2">
        <v>3219.99</v>
      </c>
      <c r="N159" s="2">
        <v>3457.85</v>
      </c>
      <c r="O159" s="2">
        <v>2142</v>
      </c>
      <c r="P159" s="2">
        <v>1990208</v>
      </c>
      <c r="Q159" s="2">
        <v>151256</v>
      </c>
    </row>
    <row r="160" spans="1:17" x14ac:dyDescent="0.3">
      <c r="A160" s="1">
        <v>45443</v>
      </c>
      <c r="B160" s="1" t="str">
        <f>TEXT(A160,"dddd")</f>
        <v>Friday</v>
      </c>
      <c r="C160" s="1" t="str">
        <f>TEXT(A160,"mmmm")</f>
        <v>May</v>
      </c>
      <c r="D160" s="1" t="str">
        <f>"Q"&amp;ROUNDUP(MONTH(A160)/3,0)</f>
        <v>Q2</v>
      </c>
      <c r="E160" s="1" t="str">
        <f>TEXT(A160,"yyyy")</f>
        <v>2024</v>
      </c>
      <c r="F160" t="s">
        <v>13</v>
      </c>
      <c r="G160" s="2">
        <v>3225.25</v>
      </c>
      <c r="H160" s="2">
        <v>3434.45</v>
      </c>
      <c r="I160" s="2">
        <v>3225.25</v>
      </c>
      <c r="J160" s="2">
        <v>3194.25</v>
      </c>
      <c r="K160" s="2">
        <v>3416</v>
      </c>
      <c r="L160" s="2">
        <v>3411.35</v>
      </c>
      <c r="M160" s="2">
        <v>3359.45</v>
      </c>
      <c r="N160" s="2">
        <v>3457.85</v>
      </c>
      <c r="O160" s="2">
        <v>2142</v>
      </c>
      <c r="P160" s="2">
        <v>6384589</v>
      </c>
      <c r="Q160" s="2">
        <v>151256</v>
      </c>
    </row>
    <row r="161" spans="1:17" x14ac:dyDescent="0.3">
      <c r="A161" s="1">
        <v>45446</v>
      </c>
      <c r="B161" s="1" t="str">
        <f>TEXT(A161,"dddd")</f>
        <v>Monday</v>
      </c>
      <c r="C161" s="1" t="str">
        <f>TEXT(A161,"mmmm")</f>
        <v>June</v>
      </c>
      <c r="D161" s="1" t="str">
        <f>"Q"&amp;ROUNDUP(MONTH(A161)/3,0)</f>
        <v>Q2</v>
      </c>
      <c r="E161" s="1" t="str">
        <f>TEXT(A161,"yyyy")</f>
        <v>2024</v>
      </c>
      <c r="F161" t="s">
        <v>13</v>
      </c>
      <c r="G161" s="2">
        <v>3725</v>
      </c>
      <c r="H161" s="2">
        <v>3743.9</v>
      </c>
      <c r="I161" s="2">
        <v>3586.05</v>
      </c>
      <c r="J161" s="2">
        <v>3411.35</v>
      </c>
      <c r="K161" s="2">
        <v>3660.1</v>
      </c>
      <c r="L161" s="2">
        <v>3645.25</v>
      </c>
      <c r="M161" s="2">
        <v>3659.12</v>
      </c>
      <c r="N161" s="2">
        <v>3743.9</v>
      </c>
      <c r="O161" s="2">
        <v>2142</v>
      </c>
      <c r="P161" s="2">
        <v>8511359</v>
      </c>
      <c r="Q161" s="2">
        <v>151256</v>
      </c>
    </row>
    <row r="162" spans="1:17" x14ac:dyDescent="0.3">
      <c r="A162" s="1">
        <v>45447</v>
      </c>
      <c r="B162" s="1" t="str">
        <f>TEXT(A162,"dddd")</f>
        <v>Tuesday</v>
      </c>
      <c r="C162" s="1" t="str">
        <f>TEXT(A162,"mmmm")</f>
        <v>June</v>
      </c>
      <c r="D162" s="1" t="str">
        <f>"Q"&amp;ROUNDUP(MONTH(A162)/3,0)</f>
        <v>Q2</v>
      </c>
      <c r="E162" s="1" t="str">
        <f>TEXT(A162,"yyyy")</f>
        <v>2024</v>
      </c>
      <c r="F162" t="s">
        <v>13</v>
      </c>
      <c r="G162" s="2">
        <v>3520</v>
      </c>
      <c r="H162" s="2">
        <v>3520</v>
      </c>
      <c r="I162" s="2">
        <v>2733.95</v>
      </c>
      <c r="J162" s="2">
        <v>3645.25</v>
      </c>
      <c r="K162" s="2">
        <v>2950</v>
      </c>
      <c r="L162" s="2">
        <v>2941.25</v>
      </c>
      <c r="M162" s="2">
        <v>3136.46</v>
      </c>
      <c r="N162" s="2">
        <v>3743.9</v>
      </c>
      <c r="O162" s="2">
        <v>2142</v>
      </c>
      <c r="P162" s="2">
        <v>20306909</v>
      </c>
      <c r="Q162" s="2">
        <v>151256</v>
      </c>
    </row>
    <row r="163" spans="1:17" x14ac:dyDescent="0.3">
      <c r="A163" s="1">
        <v>45448</v>
      </c>
      <c r="B163" s="1" t="str">
        <f>TEXT(A163,"dddd")</f>
        <v>Wednesday</v>
      </c>
      <c r="C163" s="1" t="str">
        <f>TEXT(A163,"mmmm")</f>
        <v>June</v>
      </c>
      <c r="D163" s="1" t="str">
        <f>"Q"&amp;ROUNDUP(MONTH(A163)/3,0)</f>
        <v>Q2</v>
      </c>
      <c r="E163" s="1" t="str">
        <f>TEXT(A163,"yyyy")</f>
        <v>2024</v>
      </c>
      <c r="F163" t="s">
        <v>13</v>
      </c>
      <c r="G163" s="2">
        <v>3030</v>
      </c>
      <c r="H163" s="2">
        <v>3150</v>
      </c>
      <c r="I163" s="2">
        <v>2750</v>
      </c>
      <c r="J163" s="2">
        <v>2941.25</v>
      </c>
      <c r="K163" s="2">
        <v>3093</v>
      </c>
      <c r="L163" s="2">
        <v>3115.35</v>
      </c>
      <c r="M163" s="2">
        <v>2958.33</v>
      </c>
      <c r="N163" s="2">
        <v>3743.9</v>
      </c>
      <c r="O163" s="2">
        <v>2142</v>
      </c>
      <c r="P163" s="2">
        <v>8778345</v>
      </c>
      <c r="Q163" s="2">
        <v>151256</v>
      </c>
    </row>
    <row r="164" spans="1:17" x14ac:dyDescent="0.3">
      <c r="A164" s="1">
        <v>45449</v>
      </c>
      <c r="B164" s="1" t="str">
        <f>TEXT(A164,"dddd")</f>
        <v>Thursday</v>
      </c>
      <c r="C164" s="1" t="str">
        <f>TEXT(A164,"mmmm")</f>
        <v>June</v>
      </c>
      <c r="D164" s="1" t="str">
        <f>"Q"&amp;ROUNDUP(MONTH(A164)/3,0)</f>
        <v>Q2</v>
      </c>
      <c r="E164" s="1" t="str">
        <f>TEXT(A164,"yyyy")</f>
        <v>2024</v>
      </c>
      <c r="F164" t="s">
        <v>13</v>
      </c>
      <c r="G164" s="2">
        <v>3184</v>
      </c>
      <c r="H164" s="2">
        <v>3222.4</v>
      </c>
      <c r="I164" s="2">
        <v>3137.15</v>
      </c>
      <c r="J164" s="2">
        <v>3115.35</v>
      </c>
      <c r="K164" s="2">
        <v>3181.6</v>
      </c>
      <c r="L164" s="2">
        <v>3185.65</v>
      </c>
      <c r="M164" s="2">
        <v>3186.26</v>
      </c>
      <c r="N164" s="2">
        <v>3743.9</v>
      </c>
      <c r="O164" s="2">
        <v>2142</v>
      </c>
      <c r="P164" s="2">
        <v>5873271</v>
      </c>
      <c r="Q164" s="2">
        <v>151256</v>
      </c>
    </row>
    <row r="165" spans="1:17" x14ac:dyDescent="0.3">
      <c r="A165" s="1">
        <v>45450</v>
      </c>
      <c r="B165" s="1" t="str">
        <f>TEXT(A165,"dddd")</f>
        <v>Friday</v>
      </c>
      <c r="C165" s="1" t="str">
        <f>TEXT(A165,"mmmm")</f>
        <v>June</v>
      </c>
      <c r="D165" s="1" t="str">
        <f>"Q"&amp;ROUNDUP(MONTH(A165)/3,0)</f>
        <v>Q2</v>
      </c>
      <c r="E165" s="1" t="str">
        <f>TEXT(A165,"yyyy")</f>
        <v>2024</v>
      </c>
      <c r="F165" t="s">
        <v>13</v>
      </c>
      <c r="G165" s="2">
        <v>3170.4</v>
      </c>
      <c r="H165" s="2">
        <v>3233.75</v>
      </c>
      <c r="I165" s="2">
        <v>3151.6</v>
      </c>
      <c r="J165" s="2">
        <v>3185.65</v>
      </c>
      <c r="K165" s="2">
        <v>3222.5</v>
      </c>
      <c r="L165" s="2">
        <v>3219.55</v>
      </c>
      <c r="M165" s="2">
        <v>3207.35</v>
      </c>
      <c r="N165" s="2">
        <v>3743.9</v>
      </c>
      <c r="O165" s="2">
        <v>2142</v>
      </c>
      <c r="P165" s="2">
        <v>4740455</v>
      </c>
      <c r="Q165" s="2">
        <v>151256</v>
      </c>
    </row>
    <row r="166" spans="1:17" x14ac:dyDescent="0.3">
      <c r="A166" s="1">
        <v>45453</v>
      </c>
      <c r="B166" s="1" t="str">
        <f>TEXT(A166,"dddd")</f>
        <v>Monday</v>
      </c>
      <c r="C166" s="1" t="str">
        <f>TEXT(A166,"mmmm")</f>
        <v>June</v>
      </c>
      <c r="D166" s="1" t="str">
        <f>"Q"&amp;ROUNDUP(MONTH(A166)/3,0)</f>
        <v>Q2</v>
      </c>
      <c r="E166" s="1" t="str">
        <f>TEXT(A166,"yyyy")</f>
        <v>2024</v>
      </c>
      <c r="F166" t="s">
        <v>13</v>
      </c>
      <c r="G166" s="2">
        <v>3267</v>
      </c>
      <c r="H166" s="2">
        <v>3284.4</v>
      </c>
      <c r="I166" s="2">
        <v>3205.5</v>
      </c>
      <c r="J166" s="2">
        <v>3219.55</v>
      </c>
      <c r="K166" s="2">
        <v>3212.3</v>
      </c>
      <c r="L166" s="2">
        <v>3220.1</v>
      </c>
      <c r="M166" s="2">
        <v>3247.8</v>
      </c>
      <c r="N166" s="2">
        <v>3743.9</v>
      </c>
      <c r="O166" s="2">
        <v>2142</v>
      </c>
      <c r="P166" s="2">
        <v>4935698</v>
      </c>
      <c r="Q166" s="2">
        <v>151256</v>
      </c>
    </row>
    <row r="167" spans="1:17" x14ac:dyDescent="0.3">
      <c r="A167" s="1">
        <v>45454</v>
      </c>
      <c r="B167" s="1" t="str">
        <f>TEXT(A167,"dddd")</f>
        <v>Tuesday</v>
      </c>
      <c r="C167" s="1" t="str">
        <f>TEXT(A167,"mmmm")</f>
        <v>June</v>
      </c>
      <c r="D167" s="1" t="str">
        <f>"Q"&amp;ROUNDUP(MONTH(A167)/3,0)</f>
        <v>Q2</v>
      </c>
      <c r="E167" s="1" t="str">
        <f>TEXT(A167,"yyyy")</f>
        <v>2024</v>
      </c>
      <c r="F167" t="s">
        <v>13</v>
      </c>
      <c r="G167" s="2">
        <v>3224</v>
      </c>
      <c r="H167" s="2">
        <v>3265</v>
      </c>
      <c r="I167" s="2">
        <v>3195.05</v>
      </c>
      <c r="J167" s="2">
        <v>3220.1</v>
      </c>
      <c r="K167" s="2">
        <v>3215</v>
      </c>
      <c r="L167" s="2">
        <v>3221.25</v>
      </c>
      <c r="M167" s="2">
        <v>3235.16</v>
      </c>
      <c r="N167" s="2">
        <v>3743.9</v>
      </c>
      <c r="O167" s="2">
        <v>2142</v>
      </c>
      <c r="P167" s="2">
        <v>4173692</v>
      </c>
      <c r="Q167" s="2">
        <v>151256</v>
      </c>
    </row>
    <row r="168" spans="1:17" x14ac:dyDescent="0.3">
      <c r="A168" s="1">
        <v>45455</v>
      </c>
      <c r="B168" s="1" t="str">
        <f>TEXT(A168,"dddd")</f>
        <v>Wednesday</v>
      </c>
      <c r="C168" s="1" t="str">
        <f>TEXT(A168,"mmmm")</f>
        <v>June</v>
      </c>
      <c r="D168" s="1" t="str">
        <f>"Q"&amp;ROUNDUP(MONTH(A168)/3,0)</f>
        <v>Q2</v>
      </c>
      <c r="E168" s="1" t="str">
        <f>TEXT(A168,"yyyy")</f>
        <v>2024</v>
      </c>
      <c r="F168" t="s">
        <v>13</v>
      </c>
      <c r="G168" s="2">
        <v>3224.9</v>
      </c>
      <c r="H168" s="2">
        <v>3245</v>
      </c>
      <c r="I168" s="2">
        <v>3208</v>
      </c>
      <c r="J168" s="2">
        <v>3221.25</v>
      </c>
      <c r="K168" s="2">
        <v>3209</v>
      </c>
      <c r="L168" s="2">
        <v>3219.05</v>
      </c>
      <c r="M168" s="2">
        <v>3226.61</v>
      </c>
      <c r="N168" s="2">
        <v>3743.9</v>
      </c>
      <c r="O168" s="2">
        <v>2142</v>
      </c>
      <c r="P168" s="2">
        <v>3022477</v>
      </c>
      <c r="Q168" s="2">
        <v>151256</v>
      </c>
    </row>
    <row r="169" spans="1:17" x14ac:dyDescent="0.3">
      <c r="A169" s="1">
        <v>45456</v>
      </c>
      <c r="B169" s="1" t="str">
        <f>TEXT(A169,"dddd")</f>
        <v>Thursday</v>
      </c>
      <c r="C169" s="1" t="str">
        <f>TEXT(A169,"mmmm")</f>
        <v>June</v>
      </c>
      <c r="D169" s="1" t="str">
        <f>"Q"&amp;ROUNDUP(MONTH(A169)/3,0)</f>
        <v>Q2</v>
      </c>
      <c r="E169" s="1" t="str">
        <f>TEXT(A169,"yyyy")</f>
        <v>2024</v>
      </c>
      <c r="F169" t="s">
        <v>13</v>
      </c>
      <c r="G169" s="2">
        <v>3230</v>
      </c>
      <c r="H169" s="2">
        <v>3254</v>
      </c>
      <c r="I169" s="2">
        <v>3207.25</v>
      </c>
      <c r="J169" s="2">
        <v>3219.05</v>
      </c>
      <c r="K169" s="2">
        <v>3222.25</v>
      </c>
      <c r="L169" s="2">
        <v>3224.8</v>
      </c>
      <c r="M169" s="2">
        <v>3221.11</v>
      </c>
      <c r="N169" s="2">
        <v>3743.9</v>
      </c>
      <c r="O169" s="2">
        <v>2142</v>
      </c>
      <c r="P169" s="2">
        <v>3202978</v>
      </c>
      <c r="Q169" s="2">
        <v>151256</v>
      </c>
    </row>
    <row r="170" spans="1:17" x14ac:dyDescent="0.3">
      <c r="A170" s="1">
        <v>45457</v>
      </c>
      <c r="B170" s="1" t="str">
        <f>TEXT(A170,"dddd")</f>
        <v>Friday</v>
      </c>
      <c r="C170" s="1" t="str">
        <f>TEXT(A170,"mmmm")</f>
        <v>June</v>
      </c>
      <c r="D170" s="1" t="str">
        <f>"Q"&amp;ROUNDUP(MONTH(A170)/3,0)</f>
        <v>Q2</v>
      </c>
      <c r="E170" s="1" t="str">
        <f>TEXT(A170,"yyyy")</f>
        <v>2024</v>
      </c>
      <c r="F170" t="s">
        <v>13</v>
      </c>
      <c r="G170" s="2">
        <v>3225</v>
      </c>
      <c r="H170" s="2">
        <v>3275</v>
      </c>
      <c r="I170" s="2">
        <v>3221.1</v>
      </c>
      <c r="J170" s="2">
        <v>3224.8</v>
      </c>
      <c r="K170" s="2">
        <v>3269</v>
      </c>
      <c r="L170" s="2">
        <v>3261.75</v>
      </c>
      <c r="M170" s="2">
        <v>3252.79</v>
      </c>
      <c r="N170" s="2">
        <v>3743.9</v>
      </c>
      <c r="O170" s="2">
        <v>2142</v>
      </c>
      <c r="P170" s="2">
        <v>4224855</v>
      </c>
      <c r="Q170" s="2">
        <v>151256</v>
      </c>
    </row>
    <row r="171" spans="1:17" x14ac:dyDescent="0.3">
      <c r="A171" s="1">
        <v>45461</v>
      </c>
      <c r="B171" s="1" t="str">
        <f>TEXT(A171,"dddd")</f>
        <v>Tuesday</v>
      </c>
      <c r="C171" s="1" t="str">
        <f>TEXT(A171,"mmmm")</f>
        <v>June</v>
      </c>
      <c r="D171" s="1" t="str">
        <f>"Q"&amp;ROUNDUP(MONTH(A171)/3,0)</f>
        <v>Q2</v>
      </c>
      <c r="E171" s="1" t="str">
        <f>TEXT(A171,"yyyy")</f>
        <v>2024</v>
      </c>
      <c r="F171" t="s">
        <v>13</v>
      </c>
      <c r="G171" s="2">
        <v>3310</v>
      </c>
      <c r="H171" s="2">
        <v>3345</v>
      </c>
      <c r="I171" s="2">
        <v>3287.2</v>
      </c>
      <c r="J171" s="2">
        <v>3261.75</v>
      </c>
      <c r="K171" s="2">
        <v>3310.95</v>
      </c>
      <c r="L171" s="2">
        <v>3309.05</v>
      </c>
      <c r="M171" s="2">
        <v>3311.54</v>
      </c>
      <c r="N171" s="2">
        <v>3743.9</v>
      </c>
      <c r="O171" s="2">
        <v>2142</v>
      </c>
      <c r="P171" s="2">
        <v>1755612</v>
      </c>
      <c r="Q171" s="2">
        <v>151256</v>
      </c>
    </row>
    <row r="172" spans="1:17" x14ac:dyDescent="0.3">
      <c r="A172" s="1">
        <v>45462</v>
      </c>
      <c r="B172" s="1" t="str">
        <f>TEXT(A172,"dddd")</f>
        <v>Wednesday</v>
      </c>
      <c r="C172" s="1" t="str">
        <f>TEXT(A172,"mmmm")</f>
        <v>June</v>
      </c>
      <c r="D172" s="1" t="str">
        <f>"Q"&amp;ROUNDUP(MONTH(A172)/3,0)</f>
        <v>Q2</v>
      </c>
      <c r="E172" s="1" t="str">
        <f>TEXT(A172,"yyyy")</f>
        <v>2024</v>
      </c>
      <c r="F172" t="s">
        <v>13</v>
      </c>
      <c r="G172" s="2">
        <v>3314</v>
      </c>
      <c r="H172" s="2">
        <v>3314</v>
      </c>
      <c r="I172" s="2">
        <v>3226.3</v>
      </c>
      <c r="J172" s="2">
        <v>3309.05</v>
      </c>
      <c r="K172" s="2">
        <v>3264.25</v>
      </c>
      <c r="L172" s="2">
        <v>3261.9</v>
      </c>
      <c r="M172" s="2">
        <v>3259.86</v>
      </c>
      <c r="N172" s="2">
        <v>3743.9</v>
      </c>
      <c r="O172" s="2">
        <v>2142</v>
      </c>
      <c r="P172" s="2">
        <v>1419264</v>
      </c>
      <c r="Q172" s="2">
        <v>151256</v>
      </c>
    </row>
    <row r="173" spans="1:17" x14ac:dyDescent="0.3">
      <c r="A173" s="1">
        <v>45463</v>
      </c>
      <c r="B173" s="1" t="str">
        <f>TEXT(A173,"dddd")</f>
        <v>Thursday</v>
      </c>
      <c r="C173" s="1" t="str">
        <f>TEXT(A173,"mmmm")</f>
        <v>June</v>
      </c>
      <c r="D173" s="1" t="str">
        <f>"Q"&amp;ROUNDUP(MONTH(A173)/3,0)</f>
        <v>Q2</v>
      </c>
      <c r="E173" s="1" t="str">
        <f>TEXT(A173,"yyyy")</f>
        <v>2024</v>
      </c>
      <c r="F173" t="s">
        <v>13</v>
      </c>
      <c r="G173" s="2">
        <v>3263.9</v>
      </c>
      <c r="H173" s="2">
        <v>3315</v>
      </c>
      <c r="I173" s="2">
        <v>3240</v>
      </c>
      <c r="J173" s="2">
        <v>3261.9</v>
      </c>
      <c r="K173" s="2">
        <v>3261.95</v>
      </c>
      <c r="L173" s="2">
        <v>3259.45</v>
      </c>
      <c r="M173" s="2">
        <v>3279.03</v>
      </c>
      <c r="N173" s="2">
        <v>3743.9</v>
      </c>
      <c r="O173" s="2">
        <v>2142</v>
      </c>
      <c r="P173" s="2">
        <v>1366545</v>
      </c>
      <c r="Q173" s="2">
        <v>151256</v>
      </c>
    </row>
    <row r="174" spans="1:17" x14ac:dyDescent="0.3">
      <c r="A174" s="1">
        <v>45464</v>
      </c>
      <c r="B174" s="1" t="str">
        <f>TEXT(A174,"dddd")</f>
        <v>Friday</v>
      </c>
      <c r="C174" s="1" t="str">
        <f>TEXT(A174,"mmmm")</f>
        <v>June</v>
      </c>
      <c r="D174" s="1" t="str">
        <f>"Q"&amp;ROUNDUP(MONTH(A174)/3,0)</f>
        <v>Q2</v>
      </c>
      <c r="E174" s="1" t="str">
        <f>TEXT(A174,"yyyy")</f>
        <v>2024</v>
      </c>
      <c r="F174" t="s">
        <v>13</v>
      </c>
      <c r="G174" s="2">
        <v>3265.05</v>
      </c>
      <c r="H174" s="2">
        <v>3277.1</v>
      </c>
      <c r="I174" s="2">
        <v>3176.4</v>
      </c>
      <c r="J174" s="2">
        <v>3259.45</v>
      </c>
      <c r="K174" s="2">
        <v>3192.8</v>
      </c>
      <c r="L174" s="2">
        <v>3189.3</v>
      </c>
      <c r="M174" s="2">
        <v>3205.27</v>
      </c>
      <c r="N174" s="2">
        <v>3743.9</v>
      </c>
      <c r="O174" s="2">
        <v>2142</v>
      </c>
      <c r="P174" s="2">
        <v>4697655</v>
      </c>
      <c r="Q174" s="2">
        <v>151256</v>
      </c>
    </row>
    <row r="175" spans="1:17" x14ac:dyDescent="0.3">
      <c r="A175" s="1">
        <v>45467</v>
      </c>
      <c r="B175" s="1" t="str">
        <f>TEXT(A175,"dddd")</f>
        <v>Monday</v>
      </c>
      <c r="C175" s="1" t="str">
        <f>TEXT(A175,"mmmm")</f>
        <v>June</v>
      </c>
      <c r="D175" s="1" t="str">
        <f>"Q"&amp;ROUNDUP(MONTH(A175)/3,0)</f>
        <v>Q2</v>
      </c>
      <c r="E175" s="1" t="str">
        <f>TEXT(A175,"yyyy")</f>
        <v>2024</v>
      </c>
      <c r="F175" t="s">
        <v>13</v>
      </c>
      <c r="G175" s="2">
        <v>3185.75</v>
      </c>
      <c r="H175" s="2">
        <v>3214.8</v>
      </c>
      <c r="I175" s="2">
        <v>3135</v>
      </c>
      <c r="J175" s="2">
        <v>3189.3</v>
      </c>
      <c r="K175" s="2">
        <v>3193.95</v>
      </c>
      <c r="L175" s="2">
        <v>3194.6</v>
      </c>
      <c r="M175" s="2">
        <v>3191.57</v>
      </c>
      <c r="N175" s="2">
        <v>3743.9</v>
      </c>
      <c r="O175" s="2">
        <v>2142</v>
      </c>
      <c r="P175" s="2">
        <v>3261647</v>
      </c>
      <c r="Q175" s="2">
        <v>151256</v>
      </c>
    </row>
    <row r="176" spans="1:17" x14ac:dyDescent="0.3">
      <c r="A176" s="1">
        <v>45468</v>
      </c>
      <c r="B176" s="1" t="str">
        <f>TEXT(A176,"dddd")</f>
        <v>Tuesday</v>
      </c>
      <c r="C176" s="1" t="str">
        <f>TEXT(A176,"mmmm")</f>
        <v>June</v>
      </c>
      <c r="D176" s="1" t="str">
        <f>"Q"&amp;ROUNDUP(MONTH(A176)/3,0)</f>
        <v>Q2</v>
      </c>
      <c r="E176" s="1" t="str">
        <f>TEXT(A176,"yyyy")</f>
        <v>2024</v>
      </c>
      <c r="F176" t="s">
        <v>13</v>
      </c>
      <c r="G176" s="2">
        <v>3204.75</v>
      </c>
      <c r="H176" s="2">
        <v>3208.45</v>
      </c>
      <c r="I176" s="2">
        <v>3156.35</v>
      </c>
      <c r="J176" s="2">
        <v>3194.6</v>
      </c>
      <c r="K176" s="2">
        <v>3169.05</v>
      </c>
      <c r="L176" s="2">
        <v>3171.1</v>
      </c>
      <c r="M176" s="2">
        <v>3175.93</v>
      </c>
      <c r="N176" s="2">
        <v>3743.9</v>
      </c>
      <c r="O176" s="2">
        <v>2142</v>
      </c>
      <c r="P176" s="2">
        <v>1694962</v>
      </c>
      <c r="Q176" s="2">
        <v>151256</v>
      </c>
    </row>
    <row r="177" spans="1:17" x14ac:dyDescent="0.3">
      <c r="A177" s="1">
        <v>45469</v>
      </c>
      <c r="B177" s="1" t="str">
        <f>TEXT(A177,"dddd")</f>
        <v>Wednesday</v>
      </c>
      <c r="C177" s="1" t="str">
        <f>TEXT(A177,"mmmm")</f>
        <v>June</v>
      </c>
      <c r="D177" s="1" t="str">
        <f>"Q"&amp;ROUNDUP(MONTH(A177)/3,0)</f>
        <v>Q2</v>
      </c>
      <c r="E177" s="1" t="str">
        <f>TEXT(A177,"yyyy")</f>
        <v>2024</v>
      </c>
      <c r="F177" t="s">
        <v>13</v>
      </c>
      <c r="G177" s="2">
        <v>3169.05</v>
      </c>
      <c r="H177" s="2">
        <v>3187.7</v>
      </c>
      <c r="I177" s="2">
        <v>3163.9</v>
      </c>
      <c r="J177" s="2">
        <v>3171.1</v>
      </c>
      <c r="K177" s="2">
        <v>3169</v>
      </c>
      <c r="L177" s="2">
        <v>3170.5</v>
      </c>
      <c r="M177" s="2">
        <v>3174.21</v>
      </c>
      <c r="N177" s="2">
        <v>3743.9</v>
      </c>
      <c r="O177" s="2">
        <v>2142</v>
      </c>
      <c r="P177" s="2">
        <v>2142889</v>
      </c>
      <c r="Q177" s="2">
        <v>151256</v>
      </c>
    </row>
    <row r="178" spans="1:17" x14ac:dyDescent="0.3">
      <c r="A178" s="1">
        <v>45470</v>
      </c>
      <c r="B178" s="1" t="str">
        <f>TEXT(A178,"dddd")</f>
        <v>Thursday</v>
      </c>
      <c r="C178" s="1" t="str">
        <f>TEXT(A178,"mmmm")</f>
        <v>June</v>
      </c>
      <c r="D178" s="1" t="str">
        <f>"Q"&amp;ROUNDUP(MONTH(A178)/3,0)</f>
        <v>Q2</v>
      </c>
      <c r="E178" s="1" t="str">
        <f>TEXT(A178,"yyyy")</f>
        <v>2024</v>
      </c>
      <c r="F178" t="s">
        <v>13</v>
      </c>
      <c r="G178" s="2">
        <v>3177</v>
      </c>
      <c r="H178" s="2">
        <v>3202.25</v>
      </c>
      <c r="I178" s="2">
        <v>3150</v>
      </c>
      <c r="J178" s="2">
        <v>3170.5</v>
      </c>
      <c r="K178" s="2">
        <v>3175</v>
      </c>
      <c r="L178" s="2">
        <v>3175.15</v>
      </c>
      <c r="M178" s="2">
        <v>3170.85</v>
      </c>
      <c r="N178" s="2">
        <v>3743.9</v>
      </c>
      <c r="O178" s="2">
        <v>2142</v>
      </c>
      <c r="P178" s="2">
        <v>5114980</v>
      </c>
      <c r="Q178" s="2">
        <v>151256</v>
      </c>
    </row>
    <row r="179" spans="1:17" x14ac:dyDescent="0.3">
      <c r="A179" s="1">
        <v>45471</v>
      </c>
      <c r="B179" s="1" t="str">
        <f>TEXT(A179,"dddd")</f>
        <v>Friday</v>
      </c>
      <c r="C179" s="1" t="str">
        <f>TEXT(A179,"mmmm")</f>
        <v>June</v>
      </c>
      <c r="D179" s="1" t="str">
        <f>"Q"&amp;ROUNDUP(MONTH(A179)/3,0)</f>
        <v>Q2</v>
      </c>
      <c r="E179" s="1" t="str">
        <f>TEXT(A179,"yyyy")</f>
        <v>2024</v>
      </c>
      <c r="F179" t="s">
        <v>13</v>
      </c>
      <c r="G179" s="2">
        <v>3190</v>
      </c>
      <c r="H179" s="2">
        <v>3211.95</v>
      </c>
      <c r="I179" s="2">
        <v>3157</v>
      </c>
      <c r="J179" s="2">
        <v>3175.15</v>
      </c>
      <c r="K179" s="2">
        <v>3174</v>
      </c>
      <c r="L179" s="2">
        <v>3177.15</v>
      </c>
      <c r="M179" s="2">
        <v>3184.74</v>
      </c>
      <c r="N179" s="2">
        <v>3743.9</v>
      </c>
      <c r="O179" s="2">
        <v>2142</v>
      </c>
      <c r="P179" s="2">
        <v>960905</v>
      </c>
      <c r="Q179" s="2">
        <v>151256</v>
      </c>
    </row>
    <row r="180" spans="1:17" x14ac:dyDescent="0.3">
      <c r="A180" s="1">
        <v>45474</v>
      </c>
      <c r="B180" s="1" t="str">
        <f>TEXT(A180,"dddd")</f>
        <v>Monday</v>
      </c>
      <c r="C180" s="1" t="str">
        <f>TEXT(A180,"mmmm")</f>
        <v>July</v>
      </c>
      <c r="D180" s="1" t="str">
        <f>"Q"&amp;ROUNDUP(MONTH(A180)/3,0)</f>
        <v>Q3</v>
      </c>
      <c r="E180" s="1" t="str">
        <f>TEXT(A180,"yyyy")</f>
        <v>2024</v>
      </c>
      <c r="F180" t="s">
        <v>13</v>
      </c>
      <c r="G180" s="2">
        <v>3179.95</v>
      </c>
      <c r="H180" s="2">
        <v>3193.15</v>
      </c>
      <c r="I180" s="2">
        <v>3157.55</v>
      </c>
      <c r="J180" s="2">
        <v>3177.15</v>
      </c>
      <c r="K180" s="2">
        <v>3180</v>
      </c>
      <c r="L180" s="2">
        <v>3183.8</v>
      </c>
      <c r="M180" s="2">
        <v>3175.58</v>
      </c>
      <c r="N180" s="2">
        <v>3743.9</v>
      </c>
      <c r="O180" s="2">
        <v>2142</v>
      </c>
      <c r="P180" s="2">
        <v>832170</v>
      </c>
      <c r="Q180" s="2">
        <v>151256</v>
      </c>
    </row>
    <row r="181" spans="1:17" x14ac:dyDescent="0.3">
      <c r="A181" s="1">
        <v>45475</v>
      </c>
      <c r="B181" s="1" t="str">
        <f>TEXT(A181,"dddd")</f>
        <v>Tuesday</v>
      </c>
      <c r="C181" s="1" t="str">
        <f>TEXT(A181,"mmmm")</f>
        <v>July</v>
      </c>
      <c r="D181" s="1" t="str">
        <f>"Q"&amp;ROUNDUP(MONTH(A181)/3,0)</f>
        <v>Q3</v>
      </c>
      <c r="E181" s="1" t="str">
        <f>TEXT(A181,"yyyy")</f>
        <v>2024</v>
      </c>
      <c r="F181" t="s">
        <v>13</v>
      </c>
      <c r="G181" s="2">
        <v>3179.85</v>
      </c>
      <c r="H181" s="2">
        <v>3207.8</v>
      </c>
      <c r="I181" s="2">
        <v>3131.05</v>
      </c>
      <c r="J181" s="2">
        <v>3183.8</v>
      </c>
      <c r="K181" s="2">
        <v>3150</v>
      </c>
      <c r="L181" s="2">
        <v>3153.2</v>
      </c>
      <c r="M181" s="2">
        <v>3169.46</v>
      </c>
      <c r="N181" s="2">
        <v>3743.9</v>
      </c>
      <c r="O181" s="2">
        <v>2142</v>
      </c>
      <c r="P181" s="2">
        <v>1490844</v>
      </c>
      <c r="Q181" s="2">
        <v>151256</v>
      </c>
    </row>
    <row r="182" spans="1:17" x14ac:dyDescent="0.3">
      <c r="A182" s="1">
        <v>45476</v>
      </c>
      <c r="B182" s="1" t="str">
        <f>TEXT(A182,"dddd")</f>
        <v>Wednesday</v>
      </c>
      <c r="C182" s="1" t="str">
        <f>TEXT(A182,"mmmm")</f>
        <v>July</v>
      </c>
      <c r="D182" s="1" t="str">
        <f>"Q"&amp;ROUNDUP(MONTH(A182)/3,0)</f>
        <v>Q3</v>
      </c>
      <c r="E182" s="1" t="str">
        <f>TEXT(A182,"yyyy")</f>
        <v>2024</v>
      </c>
      <c r="F182" t="s">
        <v>13</v>
      </c>
      <c r="G182" s="2">
        <v>3158</v>
      </c>
      <c r="H182" s="2">
        <v>3194.55</v>
      </c>
      <c r="I182" s="2">
        <v>3147.75</v>
      </c>
      <c r="J182" s="2">
        <v>3153.2</v>
      </c>
      <c r="K182" s="2">
        <v>3185</v>
      </c>
      <c r="L182" s="2">
        <v>3190.95</v>
      </c>
      <c r="M182" s="2">
        <v>3170.61</v>
      </c>
      <c r="N182" s="2">
        <v>3743.9</v>
      </c>
      <c r="O182" s="2">
        <v>2142</v>
      </c>
      <c r="P182" s="2">
        <v>1152522</v>
      </c>
      <c r="Q182" s="2">
        <v>151256</v>
      </c>
    </row>
    <row r="183" spans="1:17" x14ac:dyDescent="0.3">
      <c r="A183" s="1">
        <v>45477</v>
      </c>
      <c r="B183" s="1" t="str">
        <f>TEXT(A183,"dddd")</f>
        <v>Thursday</v>
      </c>
      <c r="C183" s="1" t="str">
        <f>TEXT(A183,"mmmm")</f>
        <v>July</v>
      </c>
      <c r="D183" s="1" t="str">
        <f>"Q"&amp;ROUNDUP(MONTH(A183)/3,0)</f>
        <v>Q3</v>
      </c>
      <c r="E183" s="1" t="str">
        <f>TEXT(A183,"yyyy")</f>
        <v>2024</v>
      </c>
      <c r="F183" t="s">
        <v>13</v>
      </c>
      <c r="G183" s="2">
        <v>3192</v>
      </c>
      <c r="H183" s="2">
        <v>3194.45</v>
      </c>
      <c r="I183" s="2">
        <v>3138.05</v>
      </c>
      <c r="J183" s="2">
        <v>3190.95</v>
      </c>
      <c r="K183" s="2">
        <v>3143.9</v>
      </c>
      <c r="L183" s="2">
        <v>3144.25</v>
      </c>
      <c r="M183" s="2">
        <v>3156.24</v>
      </c>
      <c r="N183" s="2">
        <v>3743.9</v>
      </c>
      <c r="O183" s="2">
        <v>2142</v>
      </c>
      <c r="P183" s="2">
        <v>1055391</v>
      </c>
      <c r="Q183" s="2">
        <v>151256</v>
      </c>
    </row>
    <row r="184" spans="1:17" x14ac:dyDescent="0.3">
      <c r="A184" s="1">
        <v>45478</v>
      </c>
      <c r="B184" s="1" t="str">
        <f>TEXT(A184,"dddd")</f>
        <v>Friday</v>
      </c>
      <c r="C184" s="1" t="str">
        <f>TEXT(A184,"mmmm")</f>
        <v>July</v>
      </c>
      <c r="D184" s="1" t="str">
        <f>"Q"&amp;ROUNDUP(MONTH(A184)/3,0)</f>
        <v>Q3</v>
      </c>
      <c r="E184" s="1" t="str">
        <f>TEXT(A184,"yyyy")</f>
        <v>2024</v>
      </c>
      <c r="F184" t="s">
        <v>13</v>
      </c>
      <c r="G184" s="2">
        <v>3143.9</v>
      </c>
      <c r="H184" s="2">
        <v>3158.55</v>
      </c>
      <c r="I184" s="2">
        <v>3123.95</v>
      </c>
      <c r="J184" s="2">
        <v>3144.25</v>
      </c>
      <c r="K184" s="2">
        <v>3146.15</v>
      </c>
      <c r="L184" s="2">
        <v>3147.9</v>
      </c>
      <c r="M184" s="2">
        <v>3143.96</v>
      </c>
      <c r="N184" s="2">
        <v>3743.9</v>
      </c>
      <c r="O184" s="2">
        <v>2142</v>
      </c>
      <c r="P184" s="2">
        <v>663988</v>
      </c>
      <c r="Q184" s="2">
        <v>151256</v>
      </c>
    </row>
    <row r="185" spans="1:17" x14ac:dyDescent="0.3">
      <c r="A185" s="1">
        <v>45481</v>
      </c>
      <c r="B185" s="1" t="str">
        <f>TEXT(A185,"dddd")</f>
        <v>Monday</v>
      </c>
      <c r="C185" s="1" t="str">
        <f>TEXT(A185,"mmmm")</f>
        <v>July</v>
      </c>
      <c r="D185" s="1" t="str">
        <f>"Q"&amp;ROUNDUP(MONTH(A185)/3,0)</f>
        <v>Q3</v>
      </c>
      <c r="E185" s="1" t="str">
        <f>TEXT(A185,"yyyy")</f>
        <v>2024</v>
      </c>
      <c r="F185" t="s">
        <v>13</v>
      </c>
      <c r="G185" s="2">
        <v>3147.9</v>
      </c>
      <c r="H185" s="2">
        <v>3158.2</v>
      </c>
      <c r="I185" s="2">
        <v>3075</v>
      </c>
      <c r="J185" s="2">
        <v>3147.9</v>
      </c>
      <c r="K185" s="2">
        <v>3112</v>
      </c>
      <c r="L185" s="2">
        <v>3113.6</v>
      </c>
      <c r="M185" s="2">
        <v>3104.41</v>
      </c>
      <c r="N185" s="2">
        <v>3743.9</v>
      </c>
      <c r="O185" s="2">
        <v>2142</v>
      </c>
      <c r="P185" s="2">
        <v>1155112</v>
      </c>
      <c r="Q185" s="2">
        <v>151256</v>
      </c>
    </row>
    <row r="186" spans="1:17" x14ac:dyDescent="0.3">
      <c r="A186" s="1">
        <v>45482</v>
      </c>
      <c r="B186" s="1" t="str">
        <f>TEXT(A186,"dddd")</f>
        <v>Tuesday</v>
      </c>
      <c r="C186" s="1" t="str">
        <f>TEXT(A186,"mmmm")</f>
        <v>July</v>
      </c>
      <c r="D186" s="1" t="str">
        <f>"Q"&amp;ROUNDUP(MONTH(A186)/3,0)</f>
        <v>Q3</v>
      </c>
      <c r="E186" s="1" t="str">
        <f>TEXT(A186,"yyyy")</f>
        <v>2024</v>
      </c>
      <c r="F186" t="s">
        <v>13</v>
      </c>
      <c r="G186" s="2">
        <v>3115.95</v>
      </c>
      <c r="H186" s="2">
        <v>3158</v>
      </c>
      <c r="I186" s="2">
        <v>3100.5</v>
      </c>
      <c r="J186" s="2">
        <v>3113.6</v>
      </c>
      <c r="K186" s="2">
        <v>3112</v>
      </c>
      <c r="L186" s="2">
        <v>3110.75</v>
      </c>
      <c r="M186" s="2">
        <v>3125.4</v>
      </c>
      <c r="N186" s="2">
        <v>3743.9</v>
      </c>
      <c r="O186" s="2">
        <v>2142</v>
      </c>
      <c r="P186" s="2">
        <v>922403</v>
      </c>
      <c r="Q186" s="2">
        <v>151256</v>
      </c>
    </row>
    <row r="187" spans="1:17" x14ac:dyDescent="0.3">
      <c r="A187" s="1">
        <v>45483</v>
      </c>
      <c r="B187" s="1" t="str">
        <f>TEXT(A187,"dddd")</f>
        <v>Wednesday</v>
      </c>
      <c r="C187" s="1" t="str">
        <f>TEXT(A187,"mmmm")</f>
        <v>July</v>
      </c>
      <c r="D187" s="1" t="str">
        <f>"Q"&amp;ROUNDUP(MONTH(A187)/3,0)</f>
        <v>Q3</v>
      </c>
      <c r="E187" s="1" t="str">
        <f>TEXT(A187,"yyyy")</f>
        <v>2024</v>
      </c>
      <c r="F187" t="s">
        <v>13</v>
      </c>
      <c r="G187" s="2">
        <v>3120.1</v>
      </c>
      <c r="H187" s="2">
        <v>3127.25</v>
      </c>
      <c r="I187" s="2">
        <v>3063.4</v>
      </c>
      <c r="J187" s="2">
        <v>3110.75</v>
      </c>
      <c r="K187" s="2">
        <v>3093.9</v>
      </c>
      <c r="L187" s="2">
        <v>3096</v>
      </c>
      <c r="M187" s="2">
        <v>3097.88</v>
      </c>
      <c r="N187" s="2">
        <v>3743.9</v>
      </c>
      <c r="O187" s="2">
        <v>2142</v>
      </c>
      <c r="P187" s="2">
        <v>586710</v>
      </c>
      <c r="Q187" s="2">
        <v>151256</v>
      </c>
    </row>
    <row r="188" spans="1:17" x14ac:dyDescent="0.3">
      <c r="A188" s="1">
        <v>45484</v>
      </c>
      <c r="B188" s="1" t="str">
        <f>TEXT(A188,"dddd")</f>
        <v>Thursday</v>
      </c>
      <c r="C188" s="1" t="str">
        <f>TEXT(A188,"mmmm")</f>
        <v>July</v>
      </c>
      <c r="D188" s="1" t="str">
        <f>"Q"&amp;ROUNDUP(MONTH(A188)/3,0)</f>
        <v>Q3</v>
      </c>
      <c r="E188" s="1" t="str">
        <f>TEXT(A188,"yyyy")</f>
        <v>2024</v>
      </c>
      <c r="F188" t="s">
        <v>13</v>
      </c>
      <c r="G188" s="2">
        <v>3118.7</v>
      </c>
      <c r="H188" s="2">
        <v>3129.8</v>
      </c>
      <c r="I188" s="2">
        <v>3074.1</v>
      </c>
      <c r="J188" s="2">
        <v>3096</v>
      </c>
      <c r="K188" s="2">
        <v>3087</v>
      </c>
      <c r="L188" s="2">
        <v>3078.3</v>
      </c>
      <c r="M188" s="2">
        <v>3097.76</v>
      </c>
      <c r="N188" s="2">
        <v>3743.9</v>
      </c>
      <c r="O188" s="2">
        <v>2142</v>
      </c>
      <c r="P188" s="2">
        <v>899781</v>
      </c>
      <c r="Q188" s="2">
        <v>151256</v>
      </c>
    </row>
    <row r="189" spans="1:17" x14ac:dyDescent="0.3">
      <c r="A189" s="1">
        <v>45485</v>
      </c>
      <c r="B189" s="1" t="str">
        <f>TEXT(A189,"dddd")</f>
        <v>Friday</v>
      </c>
      <c r="C189" s="1" t="str">
        <f>TEXT(A189,"mmmm")</f>
        <v>July</v>
      </c>
      <c r="D189" s="1" t="str">
        <f>"Q"&amp;ROUNDUP(MONTH(A189)/3,0)</f>
        <v>Q3</v>
      </c>
      <c r="E189" s="1" t="str">
        <f>TEXT(A189,"yyyy")</f>
        <v>2024</v>
      </c>
      <c r="F189" t="s">
        <v>13</v>
      </c>
      <c r="G189" s="2">
        <v>3090</v>
      </c>
      <c r="H189" s="2">
        <v>3098.8</v>
      </c>
      <c r="I189" s="2">
        <v>3058.35</v>
      </c>
      <c r="J189" s="2">
        <v>3078.3</v>
      </c>
      <c r="K189" s="2">
        <v>3066</v>
      </c>
      <c r="L189" s="2">
        <v>3065.45</v>
      </c>
      <c r="M189" s="2">
        <v>3075.05</v>
      </c>
      <c r="N189" s="2">
        <v>3743.9</v>
      </c>
      <c r="O189" s="2">
        <v>2142</v>
      </c>
      <c r="P189" s="2">
        <v>756036</v>
      </c>
      <c r="Q189" s="2">
        <v>151256</v>
      </c>
    </row>
    <row r="190" spans="1:17" x14ac:dyDescent="0.3">
      <c r="A190" s="1">
        <v>45488</v>
      </c>
      <c r="B190" s="1" t="str">
        <f>TEXT(A190,"dddd")</f>
        <v>Monday</v>
      </c>
      <c r="C190" s="1" t="str">
        <f>TEXT(A190,"mmmm")</f>
        <v>July</v>
      </c>
      <c r="D190" s="1" t="str">
        <f>"Q"&amp;ROUNDUP(MONTH(A190)/3,0)</f>
        <v>Q3</v>
      </c>
      <c r="E190" s="1" t="str">
        <f>TEXT(A190,"yyyy")</f>
        <v>2024</v>
      </c>
      <c r="F190" t="s">
        <v>13</v>
      </c>
      <c r="G190" s="2">
        <v>3066.1</v>
      </c>
      <c r="H190" s="2">
        <v>3103.5</v>
      </c>
      <c r="I190" s="2">
        <v>3058.35</v>
      </c>
      <c r="J190" s="2">
        <v>3065.45</v>
      </c>
      <c r="K190" s="2">
        <v>3091</v>
      </c>
      <c r="L190" s="2">
        <v>3090.4</v>
      </c>
      <c r="M190" s="2">
        <v>3081.16</v>
      </c>
      <c r="N190" s="2">
        <v>3743.9</v>
      </c>
      <c r="O190" s="2">
        <v>2142</v>
      </c>
      <c r="P190" s="2">
        <v>724174</v>
      </c>
      <c r="Q190" s="2">
        <v>151256</v>
      </c>
    </row>
    <row r="191" spans="1:17" x14ac:dyDescent="0.3">
      <c r="A191" s="1">
        <v>45489</v>
      </c>
      <c r="B191" s="1" t="str">
        <f>TEXT(A191,"dddd")</f>
        <v>Tuesday</v>
      </c>
      <c r="C191" s="1" t="str">
        <f>TEXT(A191,"mmmm")</f>
        <v>July</v>
      </c>
      <c r="D191" s="1" t="str">
        <f>"Q"&amp;ROUNDUP(MONTH(A191)/3,0)</f>
        <v>Q3</v>
      </c>
      <c r="E191" s="1" t="str">
        <f>TEXT(A191,"yyyy")</f>
        <v>2024</v>
      </c>
      <c r="F191" t="s">
        <v>13</v>
      </c>
      <c r="G191" s="2">
        <v>3110</v>
      </c>
      <c r="H191" s="2">
        <v>3137.75</v>
      </c>
      <c r="I191" s="2">
        <v>3096.1</v>
      </c>
      <c r="J191" s="2">
        <v>3090.4</v>
      </c>
      <c r="K191" s="2">
        <v>3106.5</v>
      </c>
      <c r="L191" s="2">
        <v>3109.3</v>
      </c>
      <c r="M191" s="2">
        <v>3115.88</v>
      </c>
      <c r="N191" s="2">
        <v>3743.9</v>
      </c>
      <c r="O191" s="2">
        <v>2142</v>
      </c>
      <c r="P191" s="2">
        <v>988357</v>
      </c>
      <c r="Q191" s="2">
        <v>151256</v>
      </c>
    </row>
    <row r="192" spans="1:17" x14ac:dyDescent="0.3">
      <c r="A192" s="1">
        <v>45491</v>
      </c>
      <c r="B192" s="1" t="str">
        <f>TEXT(A192,"dddd")</f>
        <v>Thursday</v>
      </c>
      <c r="C192" s="1" t="str">
        <f>TEXT(A192,"mmmm")</f>
        <v>July</v>
      </c>
      <c r="D192" s="1" t="str">
        <f>"Q"&amp;ROUNDUP(MONTH(A192)/3,0)</f>
        <v>Q3</v>
      </c>
      <c r="E192" s="1" t="str">
        <f>TEXT(A192,"yyyy")</f>
        <v>2024</v>
      </c>
      <c r="F192" t="s">
        <v>13</v>
      </c>
      <c r="G192" s="2">
        <v>3106</v>
      </c>
      <c r="H192" s="2">
        <v>3111</v>
      </c>
      <c r="I192" s="2">
        <v>3057.15</v>
      </c>
      <c r="J192" s="2">
        <v>3109.3</v>
      </c>
      <c r="K192" s="2">
        <v>3090</v>
      </c>
      <c r="L192" s="2">
        <v>3092.2</v>
      </c>
      <c r="M192" s="2">
        <v>3083.68</v>
      </c>
      <c r="N192" s="2">
        <v>3743.9</v>
      </c>
      <c r="O192" s="2">
        <v>2142</v>
      </c>
      <c r="P192" s="2">
        <v>1021653</v>
      </c>
      <c r="Q192" s="2">
        <v>151256</v>
      </c>
    </row>
    <row r="193" spans="1:17" x14ac:dyDescent="0.3">
      <c r="A193" s="1">
        <v>45492</v>
      </c>
      <c r="B193" s="1" t="str">
        <f>TEXT(A193,"dddd")</f>
        <v>Friday</v>
      </c>
      <c r="C193" s="1" t="str">
        <f>TEXT(A193,"mmmm")</f>
        <v>July</v>
      </c>
      <c r="D193" s="1" t="str">
        <f>"Q"&amp;ROUNDUP(MONTH(A193)/3,0)</f>
        <v>Q3</v>
      </c>
      <c r="E193" s="1" t="str">
        <f>TEXT(A193,"yyyy")</f>
        <v>2024</v>
      </c>
      <c r="F193" t="s">
        <v>13</v>
      </c>
      <c r="G193" s="2">
        <v>3092</v>
      </c>
      <c r="H193" s="2">
        <v>3094.5</v>
      </c>
      <c r="I193" s="2">
        <v>3000</v>
      </c>
      <c r="J193" s="2">
        <v>3092.2</v>
      </c>
      <c r="K193" s="2">
        <v>3007.95</v>
      </c>
      <c r="L193" s="2">
        <v>3005.7</v>
      </c>
      <c r="M193" s="2">
        <v>3033.24</v>
      </c>
      <c r="N193" s="2">
        <v>3743.9</v>
      </c>
      <c r="O193" s="2">
        <v>2142</v>
      </c>
      <c r="P193" s="2">
        <v>1026941</v>
      </c>
      <c r="Q193" s="2">
        <v>151256</v>
      </c>
    </row>
    <row r="194" spans="1:17" x14ac:dyDescent="0.3">
      <c r="A194" s="1">
        <v>45495</v>
      </c>
      <c r="B194" s="1" t="str">
        <f>TEXT(A194,"dddd")</f>
        <v>Monday</v>
      </c>
      <c r="C194" s="1" t="str">
        <f>TEXT(A194,"mmmm")</f>
        <v>July</v>
      </c>
      <c r="D194" s="1" t="str">
        <f>"Q"&amp;ROUNDUP(MONTH(A194)/3,0)</f>
        <v>Q3</v>
      </c>
      <c r="E194" s="1" t="str">
        <f>TEXT(A194,"yyyy")</f>
        <v>2024</v>
      </c>
      <c r="F194" t="s">
        <v>13</v>
      </c>
      <c r="G194" s="2">
        <v>3005.7</v>
      </c>
      <c r="H194" s="2">
        <v>3026.9</v>
      </c>
      <c r="I194" s="2">
        <v>2972.15</v>
      </c>
      <c r="J194" s="2">
        <v>3005.7</v>
      </c>
      <c r="K194" s="2">
        <v>3000</v>
      </c>
      <c r="L194" s="2">
        <v>3000.85</v>
      </c>
      <c r="M194" s="2">
        <v>3002.66</v>
      </c>
      <c r="N194" s="2">
        <v>3743.9</v>
      </c>
      <c r="O194" s="2">
        <v>2142</v>
      </c>
      <c r="P194" s="2">
        <v>662085</v>
      </c>
      <c r="Q194" s="2">
        <v>151256</v>
      </c>
    </row>
    <row r="195" spans="1:17" x14ac:dyDescent="0.3">
      <c r="A195" s="1">
        <v>45496</v>
      </c>
      <c r="B195" s="1" t="str">
        <f>TEXT(A195,"dddd")</f>
        <v>Tuesday</v>
      </c>
      <c r="C195" s="1" t="str">
        <f>TEXT(A195,"mmmm")</f>
        <v>July</v>
      </c>
      <c r="D195" s="1" t="str">
        <f>"Q"&amp;ROUNDUP(MONTH(A195)/3,0)</f>
        <v>Q3</v>
      </c>
      <c r="E195" s="1" t="str">
        <f>TEXT(A195,"yyyy")</f>
        <v>2024</v>
      </c>
      <c r="F195" t="s">
        <v>13</v>
      </c>
      <c r="G195" s="2">
        <v>3020</v>
      </c>
      <c r="H195" s="2">
        <v>3038</v>
      </c>
      <c r="I195" s="2">
        <v>2886.35</v>
      </c>
      <c r="J195" s="2">
        <v>3000.85</v>
      </c>
      <c r="K195" s="2">
        <v>2999.4</v>
      </c>
      <c r="L195" s="2">
        <v>2995.35</v>
      </c>
      <c r="M195" s="2">
        <v>2989.95</v>
      </c>
      <c r="N195" s="2">
        <v>3743.9</v>
      </c>
      <c r="O195" s="2">
        <v>2142</v>
      </c>
      <c r="P195" s="2">
        <v>1443331</v>
      </c>
      <c r="Q195" s="2">
        <v>151256</v>
      </c>
    </row>
    <row r="196" spans="1:17" x14ac:dyDescent="0.3">
      <c r="A196" s="1">
        <v>45497</v>
      </c>
      <c r="B196" s="1" t="str">
        <f>TEXT(A196,"dddd")</f>
        <v>Wednesday</v>
      </c>
      <c r="C196" s="1" t="str">
        <f>TEXT(A196,"mmmm")</f>
        <v>July</v>
      </c>
      <c r="D196" s="1" t="str">
        <f>"Q"&amp;ROUNDUP(MONTH(A196)/3,0)</f>
        <v>Q3</v>
      </c>
      <c r="E196" s="1" t="str">
        <f>TEXT(A196,"yyyy")</f>
        <v>2024</v>
      </c>
      <c r="F196" t="s">
        <v>13</v>
      </c>
      <c r="G196" s="2">
        <v>2995.35</v>
      </c>
      <c r="H196" s="2">
        <v>3007.5</v>
      </c>
      <c r="I196" s="2">
        <v>2959.3</v>
      </c>
      <c r="J196" s="2">
        <v>2995.35</v>
      </c>
      <c r="K196" s="2">
        <v>2968.8</v>
      </c>
      <c r="L196" s="2">
        <v>2970.7</v>
      </c>
      <c r="M196" s="2">
        <v>2980.98</v>
      </c>
      <c r="N196" s="2">
        <v>3743.9</v>
      </c>
      <c r="O196" s="2">
        <v>2142</v>
      </c>
      <c r="P196" s="2">
        <v>693702</v>
      </c>
      <c r="Q196" s="2">
        <v>151256</v>
      </c>
    </row>
    <row r="197" spans="1:17" x14ac:dyDescent="0.3">
      <c r="A197" s="1">
        <v>45498</v>
      </c>
      <c r="B197" s="1" t="str">
        <f>TEXT(A197,"dddd")</f>
        <v>Thursday</v>
      </c>
      <c r="C197" s="1" t="str">
        <f>TEXT(A197,"mmmm")</f>
        <v>July</v>
      </c>
      <c r="D197" s="1" t="str">
        <f>"Q"&amp;ROUNDUP(MONTH(A197)/3,0)</f>
        <v>Q3</v>
      </c>
      <c r="E197" s="1" t="str">
        <f>TEXT(A197,"yyyy")</f>
        <v>2024</v>
      </c>
      <c r="F197" t="s">
        <v>13</v>
      </c>
      <c r="G197" s="2">
        <v>2960.7</v>
      </c>
      <c r="H197" s="2">
        <v>3017.65</v>
      </c>
      <c r="I197" s="2">
        <v>2945.1</v>
      </c>
      <c r="J197" s="2">
        <v>2970.7</v>
      </c>
      <c r="K197" s="2">
        <v>2995</v>
      </c>
      <c r="L197" s="2">
        <v>2973.5</v>
      </c>
      <c r="M197" s="2">
        <v>2980.02</v>
      </c>
      <c r="N197" s="2">
        <v>3743.9</v>
      </c>
      <c r="O197" s="2">
        <v>2142</v>
      </c>
      <c r="P197" s="2">
        <v>1105721</v>
      </c>
      <c r="Q197" s="2">
        <v>151256</v>
      </c>
    </row>
    <row r="198" spans="1:17" x14ac:dyDescent="0.3">
      <c r="A198" s="1">
        <v>45499</v>
      </c>
      <c r="B198" s="1" t="str">
        <f>TEXT(A198,"dddd")</f>
        <v>Friday</v>
      </c>
      <c r="C198" s="1" t="str">
        <f>TEXT(A198,"mmmm")</f>
        <v>July</v>
      </c>
      <c r="D198" s="1" t="str">
        <f>"Q"&amp;ROUNDUP(MONTH(A198)/3,0)</f>
        <v>Q3</v>
      </c>
      <c r="E198" s="1" t="str">
        <f>TEXT(A198,"yyyy")</f>
        <v>2024</v>
      </c>
      <c r="F198" t="s">
        <v>13</v>
      </c>
      <c r="G198" s="2">
        <v>2995</v>
      </c>
      <c r="H198" s="2">
        <v>3109</v>
      </c>
      <c r="I198" s="2">
        <v>2988.1</v>
      </c>
      <c r="J198" s="2">
        <v>2973.5</v>
      </c>
      <c r="K198" s="2">
        <v>3072.25</v>
      </c>
      <c r="L198" s="2">
        <v>3080.5</v>
      </c>
      <c r="M198" s="2">
        <v>3066.52</v>
      </c>
      <c r="N198" s="2">
        <v>3743.9</v>
      </c>
      <c r="O198" s="2">
        <v>2142</v>
      </c>
      <c r="P198" s="2">
        <v>1942427</v>
      </c>
      <c r="Q198" s="2">
        <v>151256</v>
      </c>
    </row>
    <row r="199" spans="1:17" x14ac:dyDescent="0.3">
      <c r="A199" s="1">
        <v>45502</v>
      </c>
      <c r="B199" s="1" t="str">
        <f>TEXT(A199,"dddd")</f>
        <v>Monday</v>
      </c>
      <c r="C199" s="1" t="str">
        <f>TEXT(A199,"mmmm")</f>
        <v>July</v>
      </c>
      <c r="D199" s="1" t="str">
        <f>"Q"&amp;ROUNDUP(MONTH(A199)/3,0)</f>
        <v>Q3</v>
      </c>
      <c r="E199" s="1" t="str">
        <f>TEXT(A199,"yyyy")</f>
        <v>2024</v>
      </c>
      <c r="F199" t="s">
        <v>13</v>
      </c>
      <c r="G199" s="2">
        <v>3094.3</v>
      </c>
      <c r="H199" s="2">
        <v>3120.35</v>
      </c>
      <c r="I199" s="2">
        <v>3074</v>
      </c>
      <c r="J199" s="2">
        <v>3080.5</v>
      </c>
      <c r="K199" s="2">
        <v>3088.4</v>
      </c>
      <c r="L199" s="2">
        <v>3089.35</v>
      </c>
      <c r="M199" s="2">
        <v>3097.85</v>
      </c>
      <c r="N199" s="2">
        <v>3743.9</v>
      </c>
      <c r="O199" s="2">
        <v>2142</v>
      </c>
      <c r="P199" s="2">
        <v>1037474</v>
      </c>
      <c r="Q199" s="2">
        <v>151256</v>
      </c>
    </row>
    <row r="200" spans="1:17" x14ac:dyDescent="0.3">
      <c r="A200" s="1">
        <v>45503</v>
      </c>
      <c r="B200" s="1" t="str">
        <f>TEXT(A200,"dddd")</f>
        <v>Tuesday</v>
      </c>
      <c r="C200" s="1" t="str">
        <f>TEXT(A200,"mmmm")</f>
        <v>July</v>
      </c>
      <c r="D200" s="1" t="str">
        <f>"Q"&amp;ROUNDUP(MONTH(A200)/3,0)</f>
        <v>Q3</v>
      </c>
      <c r="E200" s="1" t="str">
        <f>TEXT(A200,"yyyy")</f>
        <v>2024</v>
      </c>
      <c r="F200" t="s">
        <v>13</v>
      </c>
      <c r="G200" s="2">
        <v>3092</v>
      </c>
      <c r="H200" s="2">
        <v>3155</v>
      </c>
      <c r="I200" s="2">
        <v>3066.65</v>
      </c>
      <c r="J200" s="2">
        <v>3089.35</v>
      </c>
      <c r="K200" s="2">
        <v>3133</v>
      </c>
      <c r="L200" s="2">
        <v>3128.75</v>
      </c>
      <c r="M200" s="2">
        <v>3120.89</v>
      </c>
      <c r="N200" s="2">
        <v>3743.9</v>
      </c>
      <c r="O200" s="2">
        <v>2142</v>
      </c>
      <c r="P200" s="2">
        <v>1647048</v>
      </c>
      <c r="Q200" s="2">
        <v>151256</v>
      </c>
    </row>
    <row r="201" spans="1:17" x14ac:dyDescent="0.3">
      <c r="A201" s="1">
        <v>45504</v>
      </c>
      <c r="B201" s="1" t="str">
        <f>TEXT(A201,"dddd")</f>
        <v>Wednesday</v>
      </c>
      <c r="C201" s="1" t="str">
        <f>TEXT(A201,"mmmm")</f>
        <v>July</v>
      </c>
      <c r="D201" s="1" t="str">
        <f>"Q"&amp;ROUNDUP(MONTH(A201)/3,0)</f>
        <v>Q3</v>
      </c>
      <c r="E201" s="1" t="str">
        <f>TEXT(A201,"yyyy")</f>
        <v>2024</v>
      </c>
      <c r="F201" t="s">
        <v>13</v>
      </c>
      <c r="G201" s="2">
        <v>3141</v>
      </c>
      <c r="H201" s="2">
        <v>3197.5</v>
      </c>
      <c r="I201" s="2">
        <v>3135</v>
      </c>
      <c r="J201" s="2">
        <v>3128.75</v>
      </c>
      <c r="K201" s="2">
        <v>3168</v>
      </c>
      <c r="L201" s="2">
        <v>3169.4</v>
      </c>
      <c r="M201" s="2">
        <v>3171.25</v>
      </c>
      <c r="N201" s="2">
        <v>3743.9</v>
      </c>
      <c r="O201" s="2">
        <v>2142</v>
      </c>
      <c r="P201" s="2">
        <v>2414005</v>
      </c>
      <c r="Q201" s="2">
        <v>151256</v>
      </c>
    </row>
    <row r="202" spans="1:17" x14ac:dyDescent="0.3">
      <c r="A202" s="1">
        <v>45505</v>
      </c>
      <c r="B202" s="1" t="str">
        <f>TEXT(A202,"dddd")</f>
        <v>Thursday</v>
      </c>
      <c r="C202" s="1" t="str">
        <f>TEXT(A202,"mmmm")</f>
        <v>August</v>
      </c>
      <c r="D202" s="1" t="str">
        <f>"Q"&amp;ROUNDUP(MONTH(A202)/3,0)</f>
        <v>Q3</v>
      </c>
      <c r="E202" s="1" t="str">
        <f>TEXT(A202,"yyyy")</f>
        <v>2024</v>
      </c>
      <c r="F202" t="s">
        <v>13</v>
      </c>
      <c r="G202" s="2">
        <v>3180</v>
      </c>
      <c r="H202" s="2">
        <v>3258</v>
      </c>
      <c r="I202" s="2">
        <v>3151.7</v>
      </c>
      <c r="J202" s="2">
        <v>3169.4</v>
      </c>
      <c r="K202" s="2">
        <v>3225.1</v>
      </c>
      <c r="L202" s="2">
        <v>3217.25</v>
      </c>
      <c r="M202" s="2">
        <v>3212.46</v>
      </c>
      <c r="N202" s="2">
        <v>3743.9</v>
      </c>
      <c r="O202" s="2">
        <v>2142</v>
      </c>
      <c r="P202" s="2">
        <v>6149883</v>
      </c>
      <c r="Q202" s="2">
        <v>151256</v>
      </c>
    </row>
    <row r="203" spans="1:17" x14ac:dyDescent="0.3">
      <c r="A203" s="1">
        <v>45506</v>
      </c>
      <c r="B203" s="1" t="str">
        <f>TEXT(A203,"dddd")</f>
        <v>Friday</v>
      </c>
      <c r="C203" s="1" t="str">
        <f>TEXT(A203,"mmmm")</f>
        <v>August</v>
      </c>
      <c r="D203" s="1" t="str">
        <f>"Q"&amp;ROUNDUP(MONTH(A203)/3,0)</f>
        <v>Q3</v>
      </c>
      <c r="E203" s="1" t="str">
        <f>TEXT(A203,"yyyy")</f>
        <v>2024</v>
      </c>
      <c r="F203" t="s">
        <v>13</v>
      </c>
      <c r="G203" s="2">
        <v>3200</v>
      </c>
      <c r="H203" s="2">
        <v>3215</v>
      </c>
      <c r="I203" s="2">
        <v>3111</v>
      </c>
      <c r="J203" s="2">
        <v>3217.25</v>
      </c>
      <c r="K203" s="2">
        <v>3161.4</v>
      </c>
      <c r="L203" s="2">
        <v>3160.9</v>
      </c>
      <c r="M203" s="2">
        <v>3174.06</v>
      </c>
      <c r="N203" s="2">
        <v>3743.9</v>
      </c>
      <c r="O203" s="2">
        <v>2142</v>
      </c>
      <c r="P203" s="2">
        <v>3360209</v>
      </c>
      <c r="Q203" s="2">
        <v>151256</v>
      </c>
    </row>
    <row r="204" spans="1:17" x14ac:dyDescent="0.3">
      <c r="A204" s="1">
        <v>45509</v>
      </c>
      <c r="B204" s="1" t="str">
        <f>TEXT(A204,"dddd")</f>
        <v>Monday</v>
      </c>
      <c r="C204" s="1" t="str">
        <f>TEXT(A204,"mmmm")</f>
        <v>August</v>
      </c>
      <c r="D204" s="1" t="str">
        <f>"Q"&amp;ROUNDUP(MONTH(A204)/3,0)</f>
        <v>Q3</v>
      </c>
      <c r="E204" s="1" t="str">
        <f>TEXT(A204,"yyyy")</f>
        <v>2024</v>
      </c>
      <c r="F204" t="s">
        <v>13</v>
      </c>
      <c r="G204" s="2">
        <v>3085</v>
      </c>
      <c r="H204" s="2">
        <v>3133.05</v>
      </c>
      <c r="I204" s="2">
        <v>2996.3</v>
      </c>
      <c r="J204" s="2">
        <v>3160.9</v>
      </c>
      <c r="K204" s="2">
        <v>3024</v>
      </c>
      <c r="L204" s="2">
        <v>3038.2</v>
      </c>
      <c r="M204" s="2">
        <v>3062.45</v>
      </c>
      <c r="N204" s="2">
        <v>3743.9</v>
      </c>
      <c r="O204" s="2">
        <v>2142</v>
      </c>
      <c r="P204" s="2">
        <v>2238921</v>
      </c>
      <c r="Q204" s="2">
        <v>151256</v>
      </c>
    </row>
    <row r="205" spans="1:17" x14ac:dyDescent="0.3">
      <c r="A205" s="1">
        <v>45510</v>
      </c>
      <c r="B205" s="1" t="str">
        <f>TEXT(A205,"dddd")</f>
        <v>Tuesday</v>
      </c>
      <c r="C205" s="1" t="str">
        <f>TEXT(A205,"mmmm")</f>
        <v>August</v>
      </c>
      <c r="D205" s="1" t="str">
        <f>"Q"&amp;ROUNDUP(MONTH(A205)/3,0)</f>
        <v>Q3</v>
      </c>
      <c r="E205" s="1" t="str">
        <f>TEXT(A205,"yyyy")</f>
        <v>2024</v>
      </c>
      <c r="F205" t="s">
        <v>13</v>
      </c>
      <c r="G205" s="2">
        <v>3084</v>
      </c>
      <c r="H205" s="2">
        <v>3142.8</v>
      </c>
      <c r="I205" s="2">
        <v>3057.25</v>
      </c>
      <c r="J205" s="2">
        <v>3038.2</v>
      </c>
      <c r="K205" s="2">
        <v>3078.25</v>
      </c>
      <c r="L205" s="2">
        <v>3072.7</v>
      </c>
      <c r="M205" s="2">
        <v>3108</v>
      </c>
      <c r="N205" s="2">
        <v>3743.9</v>
      </c>
      <c r="O205" s="2">
        <v>2142</v>
      </c>
      <c r="P205" s="2">
        <v>2125201</v>
      </c>
      <c r="Q205" s="2">
        <v>151256</v>
      </c>
    </row>
    <row r="206" spans="1:17" x14ac:dyDescent="0.3">
      <c r="A206" s="1">
        <v>45511</v>
      </c>
      <c r="B206" s="1" t="str">
        <f>TEXT(A206,"dddd")</f>
        <v>Wednesday</v>
      </c>
      <c r="C206" s="1" t="str">
        <f>TEXT(A206,"mmmm")</f>
        <v>August</v>
      </c>
      <c r="D206" s="1" t="str">
        <f>"Q"&amp;ROUNDUP(MONTH(A206)/3,0)</f>
        <v>Q3</v>
      </c>
      <c r="E206" s="1" t="str">
        <f>TEXT(A206,"yyyy")</f>
        <v>2024</v>
      </c>
      <c r="F206" t="s">
        <v>13</v>
      </c>
      <c r="G206" s="2">
        <v>3118</v>
      </c>
      <c r="H206" s="2">
        <v>3190</v>
      </c>
      <c r="I206" s="2">
        <v>3112</v>
      </c>
      <c r="J206" s="2">
        <v>3072.7</v>
      </c>
      <c r="K206" s="2">
        <v>3186.45</v>
      </c>
      <c r="L206" s="2">
        <v>3185.95</v>
      </c>
      <c r="M206" s="2">
        <v>3163.01</v>
      </c>
      <c r="N206" s="2">
        <v>3743.9</v>
      </c>
      <c r="O206" s="2">
        <v>2142</v>
      </c>
      <c r="P206" s="2">
        <v>1868169</v>
      </c>
      <c r="Q206" s="2">
        <v>151256</v>
      </c>
    </row>
    <row r="207" spans="1:17" x14ac:dyDescent="0.3">
      <c r="A207" s="1">
        <v>45512</v>
      </c>
      <c r="B207" s="1" t="str">
        <f>TEXT(A207,"dddd")</f>
        <v>Thursday</v>
      </c>
      <c r="C207" s="1" t="str">
        <f>TEXT(A207,"mmmm")</f>
        <v>August</v>
      </c>
      <c r="D207" s="1" t="str">
        <f>"Q"&amp;ROUNDUP(MONTH(A207)/3,0)</f>
        <v>Q3</v>
      </c>
      <c r="E207" s="1" t="str">
        <f>TEXT(A207,"yyyy")</f>
        <v>2024</v>
      </c>
      <c r="F207" t="s">
        <v>13</v>
      </c>
      <c r="G207" s="2">
        <v>3190.55</v>
      </c>
      <c r="H207" s="2">
        <v>3242.65</v>
      </c>
      <c r="I207" s="2">
        <v>3156.55</v>
      </c>
      <c r="J207" s="2">
        <v>3185.95</v>
      </c>
      <c r="K207" s="2">
        <v>3172.55</v>
      </c>
      <c r="L207" s="2">
        <v>3167.55</v>
      </c>
      <c r="M207" s="2">
        <v>3194.74</v>
      </c>
      <c r="N207" s="2">
        <v>3743.9</v>
      </c>
      <c r="O207" s="2">
        <v>2142</v>
      </c>
      <c r="P207" s="2">
        <v>2139376</v>
      </c>
      <c r="Q207" s="2">
        <v>151256</v>
      </c>
    </row>
    <row r="208" spans="1:17" x14ac:dyDescent="0.3">
      <c r="A208" s="1">
        <v>45513</v>
      </c>
      <c r="B208" s="1" t="str">
        <f>TEXT(A208,"dddd")</f>
        <v>Friday</v>
      </c>
      <c r="C208" s="1" t="str">
        <f>TEXT(A208,"mmmm")</f>
        <v>August</v>
      </c>
      <c r="D208" s="1" t="str">
        <f>"Q"&amp;ROUNDUP(MONTH(A208)/3,0)</f>
        <v>Q3</v>
      </c>
      <c r="E208" s="1" t="str">
        <f>TEXT(A208,"yyyy")</f>
        <v>2024</v>
      </c>
      <c r="F208" t="s">
        <v>13</v>
      </c>
      <c r="G208" s="2">
        <v>3209</v>
      </c>
      <c r="H208" s="2">
        <v>3219.3</v>
      </c>
      <c r="I208" s="2">
        <v>3171.05</v>
      </c>
      <c r="J208" s="2">
        <v>3167.55</v>
      </c>
      <c r="K208" s="2">
        <v>3186.5</v>
      </c>
      <c r="L208" s="2">
        <v>3187.55</v>
      </c>
      <c r="M208" s="2">
        <v>3193.28</v>
      </c>
      <c r="N208" s="2">
        <v>3743.9</v>
      </c>
      <c r="O208" s="2">
        <v>2142</v>
      </c>
      <c r="P208" s="2">
        <v>760165</v>
      </c>
      <c r="Q208" s="2">
        <v>151256</v>
      </c>
    </row>
    <row r="209" spans="1:17" x14ac:dyDescent="0.3">
      <c r="A209" s="1">
        <v>45516</v>
      </c>
      <c r="B209" s="1" t="str">
        <f>TEXT(A209,"dddd")</f>
        <v>Monday</v>
      </c>
      <c r="C209" s="1" t="str">
        <f>TEXT(A209,"mmmm")</f>
        <v>August</v>
      </c>
      <c r="D209" s="1" t="str">
        <f>"Q"&amp;ROUNDUP(MONTH(A209)/3,0)</f>
        <v>Q3</v>
      </c>
      <c r="E209" s="1" t="str">
        <f>TEXT(A209,"yyyy")</f>
        <v>2024</v>
      </c>
      <c r="F209" t="s">
        <v>13</v>
      </c>
      <c r="G209" s="2">
        <v>3100</v>
      </c>
      <c r="H209" s="2">
        <v>3169.85</v>
      </c>
      <c r="I209" s="2">
        <v>3014</v>
      </c>
      <c r="J209" s="2">
        <v>3187.55</v>
      </c>
      <c r="K209" s="2">
        <v>3140.9</v>
      </c>
      <c r="L209" s="2">
        <v>3151.75</v>
      </c>
      <c r="M209" s="2">
        <v>3101.13</v>
      </c>
      <c r="N209" s="2">
        <v>3743.9</v>
      </c>
      <c r="O209" s="2">
        <v>2142</v>
      </c>
      <c r="P209" s="2">
        <v>10307245</v>
      </c>
      <c r="Q209" s="2">
        <v>151256</v>
      </c>
    </row>
    <row r="210" spans="1:17" x14ac:dyDescent="0.3">
      <c r="A210" s="1">
        <v>45517</v>
      </c>
      <c r="B210" s="1" t="str">
        <f>TEXT(A210,"dddd")</f>
        <v>Tuesday</v>
      </c>
      <c r="C210" s="1" t="str">
        <f>TEXT(A210,"mmmm")</f>
        <v>August</v>
      </c>
      <c r="D210" s="1" t="str">
        <f>"Q"&amp;ROUNDUP(MONTH(A210)/3,0)</f>
        <v>Q3</v>
      </c>
      <c r="E210" s="1" t="str">
        <f>TEXT(A210,"yyyy")</f>
        <v>2024</v>
      </c>
      <c r="F210" t="s">
        <v>13</v>
      </c>
      <c r="G210" s="2">
        <v>3170.05</v>
      </c>
      <c r="H210" s="2">
        <v>3178.1</v>
      </c>
      <c r="I210" s="2">
        <v>3081.75</v>
      </c>
      <c r="J210" s="2">
        <v>3151.75</v>
      </c>
      <c r="K210" s="2">
        <v>3085.7</v>
      </c>
      <c r="L210" s="2">
        <v>3092.2</v>
      </c>
      <c r="M210" s="2">
        <v>3120.8</v>
      </c>
      <c r="N210" s="2">
        <v>3743.9</v>
      </c>
      <c r="O210" s="2">
        <v>2142</v>
      </c>
      <c r="P210" s="2">
        <v>2192588</v>
      </c>
      <c r="Q210" s="2">
        <v>151256</v>
      </c>
    </row>
    <row r="211" spans="1:17" x14ac:dyDescent="0.3">
      <c r="A211" s="1">
        <v>45518</v>
      </c>
      <c r="B211" s="1" t="str">
        <f>TEXT(A211,"dddd")</f>
        <v>Wednesday</v>
      </c>
      <c r="C211" s="1" t="str">
        <f>TEXT(A211,"mmmm")</f>
        <v>August</v>
      </c>
      <c r="D211" s="1" t="str">
        <f>"Q"&amp;ROUNDUP(MONTH(A211)/3,0)</f>
        <v>Q3</v>
      </c>
      <c r="E211" s="1" t="str">
        <f>TEXT(A211,"yyyy")</f>
        <v>2024</v>
      </c>
      <c r="F211" t="s">
        <v>13</v>
      </c>
      <c r="G211" s="2">
        <v>3085.7</v>
      </c>
      <c r="H211" s="2">
        <v>3085.7</v>
      </c>
      <c r="I211" s="2">
        <v>3027.75</v>
      </c>
      <c r="J211" s="2">
        <v>3092.2</v>
      </c>
      <c r="K211" s="2">
        <v>3036.25</v>
      </c>
      <c r="L211" s="2">
        <v>3040.1</v>
      </c>
      <c r="M211" s="2">
        <v>3051.52</v>
      </c>
      <c r="N211" s="2">
        <v>3743.9</v>
      </c>
      <c r="O211" s="2">
        <v>2142</v>
      </c>
      <c r="P211" s="2">
        <v>1232383</v>
      </c>
      <c r="Q211" s="2">
        <v>151256</v>
      </c>
    </row>
    <row r="212" spans="1:17" x14ac:dyDescent="0.3">
      <c r="A212" s="1">
        <v>45520</v>
      </c>
      <c r="B212" s="1" t="str">
        <f>TEXT(A212,"dddd")</f>
        <v>Friday</v>
      </c>
      <c r="C212" s="1" t="str">
        <f>TEXT(A212,"mmmm")</f>
        <v>August</v>
      </c>
      <c r="D212" s="1" t="str">
        <f>"Q"&amp;ROUNDUP(MONTH(A212)/3,0)</f>
        <v>Q3</v>
      </c>
      <c r="E212" s="1" t="str">
        <f>TEXT(A212,"yyyy")</f>
        <v>2024</v>
      </c>
      <c r="F212" t="s">
        <v>13</v>
      </c>
      <c r="G212" s="2">
        <v>3070</v>
      </c>
      <c r="H212" s="2">
        <v>3121.6</v>
      </c>
      <c r="I212" s="2">
        <v>3039.35</v>
      </c>
      <c r="J212" s="2">
        <v>3040.1</v>
      </c>
      <c r="K212" s="2">
        <v>3109</v>
      </c>
      <c r="L212" s="2">
        <v>3108.8</v>
      </c>
      <c r="M212" s="2">
        <v>3079.35</v>
      </c>
      <c r="N212" s="2">
        <v>3743.9</v>
      </c>
      <c r="O212" s="2">
        <v>2142</v>
      </c>
      <c r="P212" s="2">
        <v>970067</v>
      </c>
      <c r="Q212" s="2">
        <v>151256</v>
      </c>
    </row>
    <row r="213" spans="1:17" x14ac:dyDescent="0.3">
      <c r="A213" s="1">
        <v>45523</v>
      </c>
      <c r="B213" s="1" t="str">
        <f>TEXT(A213,"dddd")</f>
        <v>Monday</v>
      </c>
      <c r="C213" s="1" t="str">
        <f>TEXT(A213,"mmmm")</f>
        <v>August</v>
      </c>
      <c r="D213" s="1" t="str">
        <f>"Q"&amp;ROUNDUP(MONTH(A213)/3,0)</f>
        <v>Q3</v>
      </c>
      <c r="E213" s="1" t="str">
        <f>TEXT(A213,"yyyy")</f>
        <v>2024</v>
      </c>
      <c r="F213" t="s">
        <v>13</v>
      </c>
      <c r="G213" s="2">
        <v>3122.05</v>
      </c>
      <c r="H213" s="2">
        <v>3134.3</v>
      </c>
      <c r="I213" s="2">
        <v>3092.95</v>
      </c>
      <c r="J213" s="2">
        <v>3108.8</v>
      </c>
      <c r="K213" s="2">
        <v>3107</v>
      </c>
      <c r="L213" s="2">
        <v>3102.55</v>
      </c>
      <c r="M213" s="2">
        <v>3113.97</v>
      </c>
      <c r="N213" s="2">
        <v>3743.9</v>
      </c>
      <c r="O213" s="2">
        <v>2142</v>
      </c>
      <c r="P213" s="2">
        <v>557265</v>
      </c>
      <c r="Q213" s="2">
        <v>151256</v>
      </c>
    </row>
    <row r="214" spans="1:17" x14ac:dyDescent="0.3">
      <c r="A214" s="1">
        <v>45524</v>
      </c>
      <c r="B214" s="1" t="str">
        <f>TEXT(A214,"dddd")</f>
        <v>Tuesday</v>
      </c>
      <c r="C214" s="1" t="str">
        <f>TEXT(A214,"mmmm")</f>
        <v>August</v>
      </c>
      <c r="D214" s="1" t="str">
        <f>"Q"&amp;ROUNDUP(MONTH(A214)/3,0)</f>
        <v>Q3</v>
      </c>
      <c r="E214" s="1" t="str">
        <f>TEXT(A214,"yyyy")</f>
        <v>2024</v>
      </c>
      <c r="F214" t="s">
        <v>13</v>
      </c>
      <c r="G214" s="2">
        <v>3118.95</v>
      </c>
      <c r="H214" s="2">
        <v>3126</v>
      </c>
      <c r="I214" s="2">
        <v>3058.85</v>
      </c>
      <c r="J214" s="2">
        <v>3102.55</v>
      </c>
      <c r="K214" s="2">
        <v>3071</v>
      </c>
      <c r="L214" s="2">
        <v>3070.65</v>
      </c>
      <c r="M214" s="2">
        <v>3084.66</v>
      </c>
      <c r="N214" s="2">
        <v>3743.9</v>
      </c>
      <c r="O214" s="2">
        <v>2142</v>
      </c>
      <c r="P214" s="2">
        <v>662263</v>
      </c>
      <c r="Q214" s="2">
        <v>151256</v>
      </c>
    </row>
    <row r="215" spans="1:17" x14ac:dyDescent="0.3">
      <c r="A215" s="1">
        <v>45525</v>
      </c>
      <c r="B215" s="1" t="str">
        <f>TEXT(A215,"dddd")</f>
        <v>Wednesday</v>
      </c>
      <c r="C215" s="1" t="str">
        <f>TEXT(A215,"mmmm")</f>
        <v>August</v>
      </c>
      <c r="D215" s="1" t="str">
        <f>"Q"&amp;ROUNDUP(MONTH(A215)/3,0)</f>
        <v>Q3</v>
      </c>
      <c r="E215" s="1" t="str">
        <f>TEXT(A215,"yyyy")</f>
        <v>2024</v>
      </c>
      <c r="F215" t="s">
        <v>13</v>
      </c>
      <c r="G215" s="2">
        <v>3070.65</v>
      </c>
      <c r="H215" s="2">
        <v>3153.3</v>
      </c>
      <c r="I215" s="2">
        <v>3068.4</v>
      </c>
      <c r="J215" s="2">
        <v>3070.65</v>
      </c>
      <c r="K215" s="2">
        <v>3117</v>
      </c>
      <c r="L215" s="2">
        <v>3115.7</v>
      </c>
      <c r="M215" s="2">
        <v>3110.53</v>
      </c>
      <c r="N215" s="2">
        <v>3743.9</v>
      </c>
      <c r="O215" s="2">
        <v>2142</v>
      </c>
      <c r="P215" s="2">
        <v>1379240</v>
      </c>
      <c r="Q215" s="2">
        <v>151256</v>
      </c>
    </row>
    <row r="216" spans="1:17" x14ac:dyDescent="0.3">
      <c r="A216" s="1">
        <v>45526</v>
      </c>
      <c r="B216" s="1" t="str">
        <f>TEXT(A216,"dddd")</f>
        <v>Thursday</v>
      </c>
      <c r="C216" s="1" t="str">
        <f>TEXT(A216,"mmmm")</f>
        <v>August</v>
      </c>
      <c r="D216" s="1" t="str">
        <f>"Q"&amp;ROUNDUP(MONTH(A216)/3,0)</f>
        <v>Q3</v>
      </c>
      <c r="E216" s="1" t="str">
        <f>TEXT(A216,"yyyy")</f>
        <v>2024</v>
      </c>
      <c r="F216" t="s">
        <v>13</v>
      </c>
      <c r="G216" s="2">
        <v>3130.75</v>
      </c>
      <c r="H216" s="2">
        <v>3150</v>
      </c>
      <c r="I216" s="2">
        <v>3091</v>
      </c>
      <c r="J216" s="2">
        <v>3115.7</v>
      </c>
      <c r="K216" s="2">
        <v>3099.55</v>
      </c>
      <c r="L216" s="2">
        <v>3099.05</v>
      </c>
      <c r="M216" s="2">
        <v>3122.8</v>
      </c>
      <c r="N216" s="2">
        <v>3743.9</v>
      </c>
      <c r="O216" s="2">
        <v>2142</v>
      </c>
      <c r="P216" s="2">
        <v>1378912</v>
      </c>
      <c r="Q216" s="2">
        <v>151256</v>
      </c>
    </row>
    <row r="217" spans="1:17" x14ac:dyDescent="0.3">
      <c r="A217" s="1">
        <v>45527</v>
      </c>
      <c r="B217" s="1" t="str">
        <f>TEXT(A217,"dddd")</f>
        <v>Friday</v>
      </c>
      <c r="C217" s="1" t="str">
        <f>TEXT(A217,"mmmm")</f>
        <v>August</v>
      </c>
      <c r="D217" s="1" t="str">
        <f>"Q"&amp;ROUNDUP(MONTH(A217)/3,0)</f>
        <v>Q3</v>
      </c>
      <c r="E217" s="1" t="str">
        <f>TEXT(A217,"yyyy")</f>
        <v>2024</v>
      </c>
      <c r="F217" t="s">
        <v>13</v>
      </c>
      <c r="G217" s="2">
        <v>3101</v>
      </c>
      <c r="H217" s="2">
        <v>3123</v>
      </c>
      <c r="I217" s="2">
        <v>3067.6</v>
      </c>
      <c r="J217" s="2">
        <v>3099.05</v>
      </c>
      <c r="K217" s="2">
        <v>3079.45</v>
      </c>
      <c r="L217" s="2">
        <v>3076.35</v>
      </c>
      <c r="M217" s="2">
        <v>3088.57</v>
      </c>
      <c r="N217" s="2">
        <v>3743.9</v>
      </c>
      <c r="O217" s="2">
        <v>2142</v>
      </c>
      <c r="P217" s="2">
        <v>1375224</v>
      </c>
      <c r="Q217" s="2">
        <v>151256</v>
      </c>
    </row>
    <row r="218" spans="1:17" x14ac:dyDescent="0.3">
      <c r="A218" s="1">
        <v>45530</v>
      </c>
      <c r="B218" s="1" t="str">
        <f>TEXT(A218,"dddd")</f>
        <v>Monday</v>
      </c>
      <c r="C218" s="1" t="str">
        <f>TEXT(A218,"mmmm")</f>
        <v>August</v>
      </c>
      <c r="D218" s="1" t="str">
        <f>"Q"&amp;ROUNDUP(MONTH(A218)/3,0)</f>
        <v>Q3</v>
      </c>
      <c r="E218" s="1" t="str">
        <f>TEXT(A218,"yyyy")</f>
        <v>2024</v>
      </c>
      <c r="F218" t="s">
        <v>13</v>
      </c>
      <c r="G218" s="2">
        <v>3088</v>
      </c>
      <c r="H218" s="2">
        <v>3090</v>
      </c>
      <c r="I218" s="2">
        <v>3055</v>
      </c>
      <c r="J218" s="2">
        <v>3076.35</v>
      </c>
      <c r="K218" s="2">
        <v>3069.8</v>
      </c>
      <c r="L218" s="2">
        <v>3069</v>
      </c>
      <c r="M218" s="2">
        <v>3069.89</v>
      </c>
      <c r="N218" s="2">
        <v>3743.9</v>
      </c>
      <c r="O218" s="2">
        <v>2142</v>
      </c>
      <c r="P218" s="2">
        <v>1632446</v>
      </c>
      <c r="Q218" s="2">
        <v>151256</v>
      </c>
    </row>
    <row r="219" spans="1:17" x14ac:dyDescent="0.3">
      <c r="A219" s="1">
        <v>45531</v>
      </c>
      <c r="B219" s="1" t="str">
        <f>TEXT(A219,"dddd")</f>
        <v>Tuesday</v>
      </c>
      <c r="C219" s="1" t="str">
        <f>TEXT(A219,"mmmm")</f>
        <v>August</v>
      </c>
      <c r="D219" s="1" t="str">
        <f>"Q"&amp;ROUNDUP(MONTH(A219)/3,0)</f>
        <v>Q3</v>
      </c>
      <c r="E219" s="1" t="str">
        <f>TEXT(A219,"yyyy")</f>
        <v>2024</v>
      </c>
      <c r="F219" t="s">
        <v>13</v>
      </c>
      <c r="G219" s="2">
        <v>3072.2</v>
      </c>
      <c r="H219" s="2">
        <v>3095.75</v>
      </c>
      <c r="I219" s="2">
        <v>3064</v>
      </c>
      <c r="J219" s="2">
        <v>3069</v>
      </c>
      <c r="K219" s="2">
        <v>3067</v>
      </c>
      <c r="L219" s="2">
        <v>3067.1</v>
      </c>
      <c r="M219" s="2">
        <v>3078.59</v>
      </c>
      <c r="N219" s="2">
        <v>3743.9</v>
      </c>
      <c r="O219" s="2">
        <v>2142</v>
      </c>
      <c r="P219" s="2">
        <v>1310440</v>
      </c>
      <c r="Q219" s="2">
        <v>151256</v>
      </c>
    </row>
    <row r="220" spans="1:17" x14ac:dyDescent="0.3">
      <c r="A220" s="1">
        <v>45532</v>
      </c>
      <c r="B220" s="1" t="str">
        <f>TEXT(A220,"dddd")</f>
        <v>Wednesday</v>
      </c>
      <c r="C220" s="1" t="str">
        <f>TEXT(A220,"mmmm")</f>
        <v>August</v>
      </c>
      <c r="D220" s="1" t="str">
        <f>"Q"&amp;ROUNDUP(MONTH(A220)/3,0)</f>
        <v>Q3</v>
      </c>
      <c r="E220" s="1" t="str">
        <f>TEXT(A220,"yyyy")</f>
        <v>2024</v>
      </c>
      <c r="F220" t="s">
        <v>13</v>
      </c>
      <c r="G220" s="2">
        <v>3078</v>
      </c>
      <c r="H220" s="2">
        <v>3078</v>
      </c>
      <c r="I220" s="2">
        <v>3022.1</v>
      </c>
      <c r="J220" s="2">
        <v>3067.1</v>
      </c>
      <c r="K220" s="2">
        <v>3028</v>
      </c>
      <c r="L220" s="2">
        <v>3028</v>
      </c>
      <c r="M220" s="2">
        <v>3041.32</v>
      </c>
      <c r="N220" s="2">
        <v>3743.9</v>
      </c>
      <c r="O220" s="2">
        <v>2142</v>
      </c>
      <c r="P220" s="2">
        <v>1569652</v>
      </c>
      <c r="Q220" s="2">
        <v>151256</v>
      </c>
    </row>
    <row r="221" spans="1:17" x14ac:dyDescent="0.3">
      <c r="A221" s="1">
        <v>45533</v>
      </c>
      <c r="B221" s="1" t="str">
        <f>TEXT(A221,"dddd")</f>
        <v>Thursday</v>
      </c>
      <c r="C221" s="1" t="str">
        <f>TEXT(A221,"mmmm")</f>
        <v>August</v>
      </c>
      <c r="D221" s="1" t="str">
        <f>"Q"&amp;ROUNDUP(MONTH(A221)/3,0)</f>
        <v>Q3</v>
      </c>
      <c r="E221" s="1" t="str">
        <f>TEXT(A221,"yyyy")</f>
        <v>2024</v>
      </c>
      <c r="F221" t="s">
        <v>13</v>
      </c>
      <c r="G221" s="2">
        <v>3030</v>
      </c>
      <c r="H221" s="2">
        <v>3041.95</v>
      </c>
      <c r="I221" s="2">
        <v>2981.3</v>
      </c>
      <c r="J221" s="2">
        <v>3028</v>
      </c>
      <c r="K221" s="2">
        <v>3022</v>
      </c>
      <c r="L221" s="2">
        <v>3020.15</v>
      </c>
      <c r="M221" s="2">
        <v>3007.33</v>
      </c>
      <c r="N221" s="2">
        <v>3743.9</v>
      </c>
      <c r="O221" s="2">
        <v>2142</v>
      </c>
      <c r="P221" s="2">
        <v>1853966</v>
      </c>
      <c r="Q221" s="2">
        <v>151256</v>
      </c>
    </row>
    <row r="222" spans="1:17" x14ac:dyDescent="0.3">
      <c r="A222" s="1">
        <v>45534</v>
      </c>
      <c r="B222" s="1" t="str">
        <f>TEXT(A222,"dddd")</f>
        <v>Friday</v>
      </c>
      <c r="C222" s="1" t="str">
        <f>TEXT(A222,"mmmm")</f>
        <v>August</v>
      </c>
      <c r="D222" s="1" t="str">
        <f>"Q"&amp;ROUNDUP(MONTH(A222)/3,0)</f>
        <v>Q3</v>
      </c>
      <c r="E222" s="1" t="str">
        <f>TEXT(A222,"yyyy")</f>
        <v>2024</v>
      </c>
      <c r="F222" t="s">
        <v>13</v>
      </c>
      <c r="G222" s="2">
        <v>3030</v>
      </c>
      <c r="H222" s="2">
        <v>3038.55</v>
      </c>
      <c r="I222" s="2">
        <v>3003.3</v>
      </c>
      <c r="J222" s="2">
        <v>3020.15</v>
      </c>
      <c r="K222" s="2">
        <v>3033</v>
      </c>
      <c r="L222" s="2">
        <v>3019.35</v>
      </c>
      <c r="M222" s="2">
        <v>3019.69</v>
      </c>
      <c r="N222" s="2">
        <v>3743.9</v>
      </c>
      <c r="O222" s="2">
        <v>2142</v>
      </c>
      <c r="P222" s="2">
        <v>3509174</v>
      </c>
      <c r="Q222" s="2">
        <v>151256</v>
      </c>
    </row>
    <row r="223" spans="1:17" x14ac:dyDescent="0.3">
      <c r="A223" s="1">
        <v>45537</v>
      </c>
      <c r="B223" s="1" t="str">
        <f>TEXT(A223,"dddd")</f>
        <v>Monday</v>
      </c>
      <c r="C223" s="1" t="str">
        <f>TEXT(A223,"mmmm")</f>
        <v>September</v>
      </c>
      <c r="D223" s="1" t="str">
        <f>"Q"&amp;ROUNDUP(MONTH(A223)/3,0)</f>
        <v>Q3</v>
      </c>
      <c r="E223" s="1" t="str">
        <f>TEXT(A223,"yyyy")</f>
        <v>2024</v>
      </c>
      <c r="F223" t="s">
        <v>13</v>
      </c>
      <c r="G223" s="2">
        <v>3021.1</v>
      </c>
      <c r="H223" s="2">
        <v>3059.15</v>
      </c>
      <c r="I223" s="2">
        <v>2997.6</v>
      </c>
      <c r="J223" s="2">
        <v>3019.35</v>
      </c>
      <c r="K223" s="2">
        <v>3039</v>
      </c>
      <c r="L223" s="2">
        <v>3042.15</v>
      </c>
      <c r="M223" s="2">
        <v>3025.26</v>
      </c>
      <c r="N223" s="2">
        <v>3743.9</v>
      </c>
      <c r="O223" s="2">
        <v>2142</v>
      </c>
      <c r="P223" s="2">
        <v>1842658</v>
      </c>
      <c r="Q223" s="2">
        <v>151256</v>
      </c>
    </row>
    <row r="224" spans="1:17" x14ac:dyDescent="0.3">
      <c r="A224" s="1">
        <v>45538</v>
      </c>
      <c r="B224" s="1" t="str">
        <f>TEXT(A224,"dddd")</f>
        <v>Tuesday</v>
      </c>
      <c r="C224" s="1" t="str">
        <f>TEXT(A224,"mmmm")</f>
        <v>September</v>
      </c>
      <c r="D224" s="1" t="str">
        <f>"Q"&amp;ROUNDUP(MONTH(A224)/3,0)</f>
        <v>Q3</v>
      </c>
      <c r="E224" s="1" t="str">
        <f>TEXT(A224,"yyyy")</f>
        <v>2024</v>
      </c>
      <c r="F224" t="s">
        <v>13</v>
      </c>
      <c r="G224" s="2">
        <v>3037</v>
      </c>
      <c r="H224" s="2">
        <v>3053.05</v>
      </c>
      <c r="I224" s="2">
        <v>3023.8</v>
      </c>
      <c r="J224" s="2">
        <v>3042.15</v>
      </c>
      <c r="K224" s="2">
        <v>3035.95</v>
      </c>
      <c r="L224" s="2">
        <v>3036.1</v>
      </c>
      <c r="M224" s="2">
        <v>3036.89</v>
      </c>
      <c r="N224" s="2">
        <v>3743.9</v>
      </c>
      <c r="O224" s="2">
        <v>2142</v>
      </c>
      <c r="P224" s="2">
        <v>1371577</v>
      </c>
      <c r="Q224" s="2">
        <v>151256</v>
      </c>
    </row>
    <row r="225" spans="1:17" x14ac:dyDescent="0.3">
      <c r="A225" s="1">
        <v>45539</v>
      </c>
      <c r="B225" s="1" t="str">
        <f>TEXT(A225,"dddd")</f>
        <v>Wednesday</v>
      </c>
      <c r="C225" s="1" t="str">
        <f>TEXT(A225,"mmmm")</f>
        <v>September</v>
      </c>
      <c r="D225" s="1" t="str">
        <f>"Q"&amp;ROUNDUP(MONTH(A225)/3,0)</f>
        <v>Q3</v>
      </c>
      <c r="E225" s="1" t="str">
        <f>TEXT(A225,"yyyy")</f>
        <v>2024</v>
      </c>
      <c r="F225" t="s">
        <v>13</v>
      </c>
      <c r="G225" s="2">
        <v>3010</v>
      </c>
      <c r="H225" s="2">
        <v>3025</v>
      </c>
      <c r="I225" s="2">
        <v>2955.2</v>
      </c>
      <c r="J225" s="2">
        <v>3036.1</v>
      </c>
      <c r="K225" s="2">
        <v>3013.5</v>
      </c>
      <c r="L225" s="2">
        <v>3012.35</v>
      </c>
      <c r="M225" s="2">
        <v>3005.91</v>
      </c>
      <c r="N225" s="2">
        <v>3743.9</v>
      </c>
      <c r="O225" s="2">
        <v>2142</v>
      </c>
      <c r="P225" s="2">
        <v>1212270</v>
      </c>
      <c r="Q225" s="2">
        <v>151256</v>
      </c>
    </row>
    <row r="226" spans="1:17" x14ac:dyDescent="0.3">
      <c r="A226" s="1">
        <v>45540</v>
      </c>
      <c r="B226" s="1" t="str">
        <f>TEXT(A226,"dddd")</f>
        <v>Thursday</v>
      </c>
      <c r="C226" s="1" t="str">
        <f>TEXT(A226,"mmmm")</f>
        <v>September</v>
      </c>
      <c r="D226" s="1" t="str">
        <f>"Q"&amp;ROUNDUP(MONTH(A226)/3,0)</f>
        <v>Q3</v>
      </c>
      <c r="E226" s="1" t="str">
        <f>TEXT(A226,"yyyy")</f>
        <v>2024</v>
      </c>
      <c r="F226" t="s">
        <v>13</v>
      </c>
      <c r="G226" s="2">
        <v>3025</v>
      </c>
      <c r="H226" s="2">
        <v>3037.9</v>
      </c>
      <c r="I226" s="2">
        <v>3002</v>
      </c>
      <c r="J226" s="2">
        <v>3012.35</v>
      </c>
      <c r="K226" s="2">
        <v>3012</v>
      </c>
      <c r="L226" s="2">
        <v>3015.35</v>
      </c>
      <c r="M226" s="2">
        <v>3015.88</v>
      </c>
      <c r="N226" s="2">
        <v>3743.9</v>
      </c>
      <c r="O226" s="2">
        <v>2142</v>
      </c>
      <c r="P226" s="2">
        <v>734273</v>
      </c>
      <c r="Q226" s="2">
        <v>151256</v>
      </c>
    </row>
    <row r="227" spans="1:17" x14ac:dyDescent="0.3">
      <c r="A227" s="1">
        <v>45541</v>
      </c>
      <c r="B227" s="1" t="str">
        <f>TEXT(A227,"dddd")</f>
        <v>Friday</v>
      </c>
      <c r="C227" s="1" t="str">
        <f>TEXT(A227,"mmmm")</f>
        <v>September</v>
      </c>
      <c r="D227" s="1" t="str">
        <f>"Q"&amp;ROUNDUP(MONTH(A227)/3,0)</f>
        <v>Q3</v>
      </c>
      <c r="E227" s="1" t="str">
        <f>TEXT(A227,"yyyy")</f>
        <v>2024</v>
      </c>
      <c r="F227" t="s">
        <v>13</v>
      </c>
      <c r="G227" s="2">
        <v>3019</v>
      </c>
      <c r="H227" s="2">
        <v>3025</v>
      </c>
      <c r="I227" s="2">
        <v>2968</v>
      </c>
      <c r="J227" s="2">
        <v>3015.35</v>
      </c>
      <c r="K227" s="2">
        <v>2972.1</v>
      </c>
      <c r="L227" s="2">
        <v>2975.45</v>
      </c>
      <c r="M227" s="2">
        <v>2990.04</v>
      </c>
      <c r="N227" s="2">
        <v>3743.9</v>
      </c>
      <c r="O227" s="2">
        <v>2142</v>
      </c>
      <c r="P227" s="2">
        <v>1251165</v>
      </c>
      <c r="Q227" s="2">
        <v>151256</v>
      </c>
    </row>
    <row r="228" spans="1:17" x14ac:dyDescent="0.3">
      <c r="A228" s="1">
        <v>45544</v>
      </c>
      <c r="B228" s="1" t="str">
        <f>TEXT(A228,"dddd")</f>
        <v>Monday</v>
      </c>
      <c r="C228" s="1" t="str">
        <f>TEXT(A228,"mmmm")</f>
        <v>September</v>
      </c>
      <c r="D228" s="1" t="str">
        <f>"Q"&amp;ROUNDUP(MONTH(A228)/3,0)</f>
        <v>Q3</v>
      </c>
      <c r="E228" s="1" t="str">
        <f>TEXT(A228,"yyyy")</f>
        <v>2024</v>
      </c>
      <c r="F228" t="s">
        <v>13</v>
      </c>
      <c r="G228" s="2">
        <v>2972.1</v>
      </c>
      <c r="H228" s="2">
        <v>2972.5</v>
      </c>
      <c r="I228" s="2">
        <v>2927.3</v>
      </c>
      <c r="J228" s="2">
        <v>2975.45</v>
      </c>
      <c r="K228" s="2">
        <v>2968</v>
      </c>
      <c r="L228" s="2">
        <v>2964.15</v>
      </c>
      <c r="M228" s="2">
        <v>2953.73</v>
      </c>
      <c r="N228" s="2">
        <v>3743.9</v>
      </c>
      <c r="O228" s="2">
        <v>2142</v>
      </c>
      <c r="P228" s="2">
        <v>1523581</v>
      </c>
      <c r="Q228" s="2">
        <v>151256</v>
      </c>
    </row>
    <row r="229" spans="1:17" x14ac:dyDescent="0.3">
      <c r="A229" s="1">
        <v>45545</v>
      </c>
      <c r="B229" s="1" t="str">
        <f>TEXT(A229,"dddd")</f>
        <v>Tuesday</v>
      </c>
      <c r="C229" s="1" t="str">
        <f>TEXT(A229,"mmmm")</f>
        <v>September</v>
      </c>
      <c r="D229" s="1" t="str">
        <f>"Q"&amp;ROUNDUP(MONTH(A229)/3,0)</f>
        <v>Q3</v>
      </c>
      <c r="E229" s="1" t="str">
        <f>TEXT(A229,"yyyy")</f>
        <v>2024</v>
      </c>
      <c r="F229" t="s">
        <v>13</v>
      </c>
      <c r="G229" s="2">
        <v>2971.6</v>
      </c>
      <c r="H229" s="2">
        <v>3007.4</v>
      </c>
      <c r="I229" s="2">
        <v>2947.6</v>
      </c>
      <c r="J229" s="2">
        <v>2964.15</v>
      </c>
      <c r="K229" s="2">
        <v>2986</v>
      </c>
      <c r="L229" s="2">
        <v>2986.4</v>
      </c>
      <c r="M229" s="2">
        <v>2975.72</v>
      </c>
      <c r="N229" s="2">
        <v>3743.9</v>
      </c>
      <c r="O229" s="2">
        <v>2142</v>
      </c>
      <c r="P229" s="2">
        <v>803782</v>
      </c>
      <c r="Q229" s="2">
        <v>151256</v>
      </c>
    </row>
    <row r="230" spans="1:17" x14ac:dyDescent="0.3">
      <c r="A230" s="1">
        <v>45546</v>
      </c>
      <c r="B230" s="1" t="str">
        <f>TEXT(A230,"dddd")</f>
        <v>Wednesday</v>
      </c>
      <c r="C230" s="1" t="str">
        <f>TEXT(A230,"mmmm")</f>
        <v>September</v>
      </c>
      <c r="D230" s="1" t="str">
        <f>"Q"&amp;ROUNDUP(MONTH(A230)/3,0)</f>
        <v>Q3</v>
      </c>
      <c r="E230" s="1" t="str">
        <f>TEXT(A230,"yyyy")</f>
        <v>2024</v>
      </c>
      <c r="F230" t="s">
        <v>13</v>
      </c>
      <c r="G230" s="2">
        <v>2985</v>
      </c>
      <c r="H230" s="2">
        <v>2992.95</v>
      </c>
      <c r="I230" s="2">
        <v>2928</v>
      </c>
      <c r="J230" s="2">
        <v>2986.4</v>
      </c>
      <c r="K230" s="2">
        <v>2940</v>
      </c>
      <c r="L230" s="2">
        <v>2937.85</v>
      </c>
      <c r="M230" s="2">
        <v>2958.05</v>
      </c>
      <c r="N230" s="2">
        <v>3743.9</v>
      </c>
      <c r="O230" s="2">
        <v>2142</v>
      </c>
      <c r="P230" s="2">
        <v>888628</v>
      </c>
      <c r="Q230" s="2">
        <v>151256</v>
      </c>
    </row>
    <row r="231" spans="1:17" x14ac:dyDescent="0.3">
      <c r="A231" s="1">
        <v>45547</v>
      </c>
      <c r="B231" s="1" t="str">
        <f>TEXT(A231,"dddd")</f>
        <v>Thursday</v>
      </c>
      <c r="C231" s="1" t="str">
        <f>TEXT(A231,"mmmm")</f>
        <v>September</v>
      </c>
      <c r="D231" s="1" t="str">
        <f>"Q"&amp;ROUNDUP(MONTH(A231)/3,0)</f>
        <v>Q3</v>
      </c>
      <c r="E231" s="1" t="str">
        <f>TEXT(A231,"yyyy")</f>
        <v>2024</v>
      </c>
      <c r="F231" t="s">
        <v>13</v>
      </c>
      <c r="G231" s="2">
        <v>2950</v>
      </c>
      <c r="H231" s="2">
        <v>3000</v>
      </c>
      <c r="I231" s="2">
        <v>2917.15</v>
      </c>
      <c r="J231" s="2">
        <v>2937.85</v>
      </c>
      <c r="K231" s="2">
        <v>2980.9</v>
      </c>
      <c r="L231" s="2">
        <v>2991</v>
      </c>
      <c r="M231" s="2">
        <v>2962.52</v>
      </c>
      <c r="N231" s="2">
        <v>3743.9</v>
      </c>
      <c r="O231" s="2">
        <v>2142</v>
      </c>
      <c r="P231" s="2">
        <v>1314173</v>
      </c>
      <c r="Q231" s="2">
        <v>151256</v>
      </c>
    </row>
    <row r="232" spans="1:17" x14ac:dyDescent="0.3">
      <c r="A232" s="1">
        <v>45548</v>
      </c>
      <c r="B232" s="1" t="str">
        <f>TEXT(A232,"dddd")</f>
        <v>Friday</v>
      </c>
      <c r="C232" s="1" t="str">
        <f>TEXT(A232,"mmmm")</f>
        <v>September</v>
      </c>
      <c r="D232" s="1" t="str">
        <f>"Q"&amp;ROUNDUP(MONTH(A232)/3,0)</f>
        <v>Q3</v>
      </c>
      <c r="E232" s="1" t="str">
        <f>TEXT(A232,"yyyy")</f>
        <v>2024</v>
      </c>
      <c r="F232" t="s">
        <v>13</v>
      </c>
      <c r="G232" s="2">
        <v>2972</v>
      </c>
      <c r="H232" s="2">
        <v>3001.95</v>
      </c>
      <c r="I232" s="2">
        <v>2956.05</v>
      </c>
      <c r="J232" s="2">
        <v>2991</v>
      </c>
      <c r="K232" s="2">
        <v>2965.35</v>
      </c>
      <c r="L232" s="2">
        <v>2968.35</v>
      </c>
      <c r="M232" s="2">
        <v>2974.23</v>
      </c>
      <c r="N232" s="2">
        <v>3743.9</v>
      </c>
      <c r="O232" s="2">
        <v>2142</v>
      </c>
      <c r="P232" s="2">
        <v>815948</v>
      </c>
      <c r="Q232" s="2">
        <v>151256</v>
      </c>
    </row>
    <row r="233" spans="1:17" x14ac:dyDescent="0.3">
      <c r="A233" s="1">
        <v>45551</v>
      </c>
      <c r="B233" s="1" t="str">
        <f>TEXT(A233,"dddd")</f>
        <v>Monday</v>
      </c>
      <c r="C233" s="1" t="str">
        <f>TEXT(A233,"mmmm")</f>
        <v>September</v>
      </c>
      <c r="D233" s="1" t="str">
        <f>"Q"&amp;ROUNDUP(MONTH(A233)/3,0)</f>
        <v>Q3</v>
      </c>
      <c r="E233" s="1" t="str">
        <f>TEXT(A233,"yyyy")</f>
        <v>2024</v>
      </c>
      <c r="F233" t="s">
        <v>13</v>
      </c>
      <c r="G233" s="2">
        <v>2972</v>
      </c>
      <c r="H233" s="2">
        <v>3026.4</v>
      </c>
      <c r="I233" s="2">
        <v>2972</v>
      </c>
      <c r="J233" s="2">
        <v>2968.35</v>
      </c>
      <c r="K233" s="2">
        <v>2982</v>
      </c>
      <c r="L233" s="2">
        <v>2984.9</v>
      </c>
      <c r="M233" s="2">
        <v>3000.63</v>
      </c>
      <c r="N233" s="2">
        <v>3743.9</v>
      </c>
      <c r="O233" s="2">
        <v>2142</v>
      </c>
      <c r="P233" s="2">
        <v>695162</v>
      </c>
      <c r="Q233" s="2">
        <v>151256</v>
      </c>
    </row>
    <row r="234" spans="1:17" x14ac:dyDescent="0.3">
      <c r="A234" s="1">
        <v>45552</v>
      </c>
      <c r="B234" s="1" t="str">
        <f>TEXT(A234,"dddd")</f>
        <v>Tuesday</v>
      </c>
      <c r="C234" s="1" t="str">
        <f>TEXT(A234,"mmmm")</f>
        <v>September</v>
      </c>
      <c r="D234" s="1" t="str">
        <f>"Q"&amp;ROUNDUP(MONTH(A234)/3,0)</f>
        <v>Q3</v>
      </c>
      <c r="E234" s="1" t="str">
        <f>TEXT(A234,"yyyy")</f>
        <v>2024</v>
      </c>
      <c r="F234" t="s">
        <v>13</v>
      </c>
      <c r="G234" s="2">
        <v>2990.05</v>
      </c>
      <c r="H234" s="2">
        <v>2995.9</v>
      </c>
      <c r="I234" s="2">
        <v>2952.5</v>
      </c>
      <c r="J234" s="2">
        <v>2984.9</v>
      </c>
      <c r="K234" s="2">
        <v>2975</v>
      </c>
      <c r="L234" s="2">
        <v>2975.2</v>
      </c>
      <c r="M234" s="2">
        <v>2971.05</v>
      </c>
      <c r="N234" s="2">
        <v>3743.9</v>
      </c>
      <c r="O234" s="2">
        <v>2142</v>
      </c>
      <c r="P234" s="2">
        <v>698700</v>
      </c>
      <c r="Q234" s="2">
        <v>151256</v>
      </c>
    </row>
    <row r="235" spans="1:17" x14ac:dyDescent="0.3">
      <c r="A235" s="1">
        <v>45553</v>
      </c>
      <c r="B235" s="1" t="str">
        <f>TEXT(A235,"dddd")</f>
        <v>Wednesday</v>
      </c>
      <c r="C235" s="1" t="str">
        <f>TEXT(A235,"mmmm")</f>
        <v>September</v>
      </c>
      <c r="D235" s="1" t="str">
        <f>"Q"&amp;ROUNDUP(MONTH(A235)/3,0)</f>
        <v>Q3</v>
      </c>
      <c r="E235" s="1" t="str">
        <f>TEXT(A235,"yyyy")</f>
        <v>2024</v>
      </c>
      <c r="F235" t="s">
        <v>13</v>
      </c>
      <c r="G235" s="2">
        <v>2976</v>
      </c>
      <c r="H235" s="2">
        <v>2984.75</v>
      </c>
      <c r="I235" s="2">
        <v>2935</v>
      </c>
      <c r="J235" s="2">
        <v>2975.2</v>
      </c>
      <c r="K235" s="2">
        <v>2957</v>
      </c>
      <c r="L235" s="2">
        <v>2956.3</v>
      </c>
      <c r="M235" s="2">
        <v>2959.83</v>
      </c>
      <c r="N235" s="2">
        <v>3743.9</v>
      </c>
      <c r="O235" s="2">
        <v>2142</v>
      </c>
      <c r="P235" s="2">
        <v>831891</v>
      </c>
      <c r="Q235" s="2">
        <v>151256</v>
      </c>
    </row>
    <row r="236" spans="1:17" x14ac:dyDescent="0.3">
      <c r="A236" s="1">
        <v>45554</v>
      </c>
      <c r="B236" s="1" t="str">
        <f>TEXT(A236,"dddd")</f>
        <v>Thursday</v>
      </c>
      <c r="C236" s="1" t="str">
        <f>TEXT(A236,"mmmm")</f>
        <v>September</v>
      </c>
      <c r="D236" s="1" t="str">
        <f>"Q"&amp;ROUNDUP(MONTH(A236)/3,0)</f>
        <v>Q3</v>
      </c>
      <c r="E236" s="1" t="str">
        <f>TEXT(A236,"yyyy")</f>
        <v>2024</v>
      </c>
      <c r="F236" t="s">
        <v>13</v>
      </c>
      <c r="G236" s="2">
        <v>2975.05</v>
      </c>
      <c r="H236" s="2">
        <v>2975.25</v>
      </c>
      <c r="I236" s="2">
        <v>2890.35</v>
      </c>
      <c r="J236" s="2">
        <v>2956.3</v>
      </c>
      <c r="K236" s="2">
        <v>2941</v>
      </c>
      <c r="L236" s="2">
        <v>2943.15</v>
      </c>
      <c r="M236" s="2">
        <v>2930.13</v>
      </c>
      <c r="N236" s="2">
        <v>3743.9</v>
      </c>
      <c r="O236" s="2">
        <v>2142</v>
      </c>
      <c r="P236" s="2">
        <v>1655401</v>
      </c>
      <c r="Q236" s="2">
        <v>151256</v>
      </c>
    </row>
    <row r="237" spans="1:17" x14ac:dyDescent="0.3">
      <c r="A237" s="1">
        <v>45555</v>
      </c>
      <c r="B237" s="1" t="str">
        <f>TEXT(A237,"dddd")</f>
        <v>Friday</v>
      </c>
      <c r="C237" s="1" t="str">
        <f>TEXT(A237,"mmmm")</f>
        <v>September</v>
      </c>
      <c r="D237" s="1" t="str">
        <f>"Q"&amp;ROUNDUP(MONTH(A237)/3,0)</f>
        <v>Q3</v>
      </c>
      <c r="E237" s="1" t="str">
        <f>TEXT(A237,"yyyy")</f>
        <v>2024</v>
      </c>
      <c r="F237" t="s">
        <v>13</v>
      </c>
      <c r="G237" s="2">
        <v>2948.15</v>
      </c>
      <c r="H237" s="2">
        <v>3025</v>
      </c>
      <c r="I237" s="2">
        <v>2942.05</v>
      </c>
      <c r="J237" s="2">
        <v>2943.15</v>
      </c>
      <c r="K237" s="2">
        <v>3005.8</v>
      </c>
      <c r="L237" s="2">
        <v>3008.5</v>
      </c>
      <c r="M237" s="2">
        <v>3000.83</v>
      </c>
      <c r="N237" s="2">
        <v>3743.9</v>
      </c>
      <c r="O237" s="2">
        <v>2142</v>
      </c>
      <c r="P237" s="2">
        <v>1787210</v>
      </c>
      <c r="Q237" s="2">
        <v>151256</v>
      </c>
    </row>
    <row r="238" spans="1:17" x14ac:dyDescent="0.3">
      <c r="A238" s="1">
        <v>45558</v>
      </c>
      <c r="B238" s="1" t="str">
        <f>TEXT(A238,"dddd")</f>
        <v>Monday</v>
      </c>
      <c r="C238" s="1" t="str">
        <f>TEXT(A238,"mmmm")</f>
        <v>September</v>
      </c>
      <c r="D238" s="1" t="str">
        <f>"Q"&amp;ROUNDUP(MONTH(A238)/3,0)</f>
        <v>Q3</v>
      </c>
      <c r="E238" s="1" t="str">
        <f>TEXT(A238,"yyyy")</f>
        <v>2024</v>
      </c>
      <c r="F238" t="s">
        <v>13</v>
      </c>
      <c r="G238" s="2">
        <v>3020</v>
      </c>
      <c r="H238" s="2">
        <v>3070</v>
      </c>
      <c r="I238" s="2">
        <v>3015.25</v>
      </c>
      <c r="J238" s="2">
        <v>3008.5</v>
      </c>
      <c r="K238" s="2">
        <v>3035</v>
      </c>
      <c r="L238" s="2">
        <v>3043.95</v>
      </c>
      <c r="M238" s="2">
        <v>3046.7</v>
      </c>
      <c r="N238" s="2">
        <v>3743.9</v>
      </c>
      <c r="O238" s="2">
        <v>2142</v>
      </c>
      <c r="P238" s="2">
        <v>897314</v>
      </c>
      <c r="Q238" s="2">
        <v>151256</v>
      </c>
    </row>
    <row r="239" spans="1:17" x14ac:dyDescent="0.3">
      <c r="A239" s="1">
        <v>45559</v>
      </c>
      <c r="B239" s="1" t="str">
        <f>TEXT(A239,"dddd")</f>
        <v>Tuesday</v>
      </c>
      <c r="C239" s="1" t="str">
        <f>TEXT(A239,"mmmm")</f>
        <v>September</v>
      </c>
      <c r="D239" s="1" t="str">
        <f>"Q"&amp;ROUNDUP(MONTH(A239)/3,0)</f>
        <v>Q3</v>
      </c>
      <c r="E239" s="1" t="str">
        <f>TEXT(A239,"yyyy")</f>
        <v>2024</v>
      </c>
      <c r="F239" t="s">
        <v>13</v>
      </c>
      <c r="G239" s="2">
        <v>3055</v>
      </c>
      <c r="H239" s="2">
        <v>3101</v>
      </c>
      <c r="I239" s="2">
        <v>3040.25</v>
      </c>
      <c r="J239" s="2">
        <v>3043.95</v>
      </c>
      <c r="K239" s="2">
        <v>3100.45</v>
      </c>
      <c r="L239" s="2">
        <v>3093.9</v>
      </c>
      <c r="M239" s="2">
        <v>3072.82</v>
      </c>
      <c r="N239" s="2">
        <v>3743.9</v>
      </c>
      <c r="O239" s="2">
        <v>2142</v>
      </c>
      <c r="P239" s="2">
        <v>1021918</v>
      </c>
      <c r="Q239" s="2">
        <v>151256</v>
      </c>
    </row>
    <row r="240" spans="1:17" x14ac:dyDescent="0.3">
      <c r="A240" s="1">
        <v>45560</v>
      </c>
      <c r="B240" s="1" t="str">
        <f>TEXT(A240,"dddd")</f>
        <v>Wednesday</v>
      </c>
      <c r="C240" s="1" t="str">
        <f>TEXT(A240,"mmmm")</f>
        <v>September</v>
      </c>
      <c r="D240" s="1" t="str">
        <f>"Q"&amp;ROUNDUP(MONTH(A240)/3,0)</f>
        <v>Q3</v>
      </c>
      <c r="E240" s="1" t="str">
        <f>TEXT(A240,"yyyy")</f>
        <v>2024</v>
      </c>
      <c r="F240" t="s">
        <v>13</v>
      </c>
      <c r="G240" s="2">
        <v>3108</v>
      </c>
      <c r="H240" s="2">
        <v>3123.9</v>
      </c>
      <c r="I240" s="2">
        <v>3080.2</v>
      </c>
      <c r="J240" s="2">
        <v>3093.9</v>
      </c>
      <c r="K240" s="2">
        <v>3101.05</v>
      </c>
      <c r="L240" s="2">
        <v>3105.1</v>
      </c>
      <c r="M240" s="2">
        <v>3100.01</v>
      </c>
      <c r="N240" s="2">
        <v>3743.9</v>
      </c>
      <c r="O240" s="2">
        <v>2142</v>
      </c>
      <c r="P240" s="2">
        <v>913008</v>
      </c>
      <c r="Q240" s="2">
        <v>151256</v>
      </c>
    </row>
    <row r="241" spans="1:17" x14ac:dyDescent="0.3">
      <c r="A241" s="1">
        <v>45561</v>
      </c>
      <c r="B241" s="1" t="str">
        <f>TEXT(A241,"dddd")</f>
        <v>Thursday</v>
      </c>
      <c r="C241" s="1" t="str">
        <f>TEXT(A241,"mmmm")</f>
        <v>September</v>
      </c>
      <c r="D241" s="1" t="str">
        <f>"Q"&amp;ROUNDUP(MONTH(A241)/3,0)</f>
        <v>Q3</v>
      </c>
      <c r="E241" s="1" t="str">
        <f>TEXT(A241,"yyyy")</f>
        <v>2024</v>
      </c>
      <c r="F241" t="s">
        <v>13</v>
      </c>
      <c r="G241" s="2">
        <v>3085</v>
      </c>
      <c r="H241" s="2">
        <v>3148</v>
      </c>
      <c r="I241" s="2">
        <v>3085</v>
      </c>
      <c r="J241" s="2">
        <v>3105.1</v>
      </c>
      <c r="K241" s="2">
        <v>3115</v>
      </c>
      <c r="L241" s="2">
        <v>3122.65</v>
      </c>
      <c r="M241" s="2">
        <v>3117.31</v>
      </c>
      <c r="N241" s="2">
        <v>3743.9</v>
      </c>
      <c r="O241" s="2">
        <v>2142</v>
      </c>
      <c r="P241" s="2">
        <v>1548019</v>
      </c>
      <c r="Q241" s="2">
        <v>151256</v>
      </c>
    </row>
    <row r="242" spans="1:17" x14ac:dyDescent="0.3">
      <c r="A242" s="1">
        <v>45562</v>
      </c>
      <c r="B242" s="1" t="str">
        <f>TEXT(A242,"dddd")</f>
        <v>Friday</v>
      </c>
      <c r="C242" s="1" t="str">
        <f>TEXT(A242,"mmmm")</f>
        <v>September</v>
      </c>
      <c r="D242" s="1" t="str">
        <f>"Q"&amp;ROUNDUP(MONTH(A242)/3,0)</f>
        <v>Q3</v>
      </c>
      <c r="E242" s="1" t="str">
        <f>TEXT(A242,"yyyy")</f>
        <v>2024</v>
      </c>
      <c r="F242" t="s">
        <v>13</v>
      </c>
      <c r="G242" s="2">
        <v>3122</v>
      </c>
      <c r="H242" s="2">
        <v>3179</v>
      </c>
      <c r="I242" s="2">
        <v>3116</v>
      </c>
      <c r="J242" s="2">
        <v>3122.65</v>
      </c>
      <c r="K242" s="2">
        <v>3137.65</v>
      </c>
      <c r="L242" s="2">
        <v>3130.3</v>
      </c>
      <c r="M242" s="2">
        <v>3134.82</v>
      </c>
      <c r="N242" s="2">
        <v>3743.9</v>
      </c>
      <c r="O242" s="2">
        <v>2142</v>
      </c>
      <c r="P242" s="2">
        <v>2297441</v>
      </c>
      <c r="Q242" s="2">
        <v>151256</v>
      </c>
    </row>
    <row r="243" spans="1:17" x14ac:dyDescent="0.3">
      <c r="A243" s="1">
        <v>45565</v>
      </c>
      <c r="B243" s="1" t="str">
        <f>TEXT(A243,"dddd")</f>
        <v>Monday</v>
      </c>
      <c r="C243" s="1" t="str">
        <f>TEXT(A243,"mmmm")</f>
        <v>September</v>
      </c>
      <c r="D243" s="1" t="str">
        <f>"Q"&amp;ROUNDUP(MONTH(A243)/3,0)</f>
        <v>Q3</v>
      </c>
      <c r="E243" s="1" t="str">
        <f>TEXT(A243,"yyyy")</f>
        <v>2024</v>
      </c>
      <c r="F243" t="s">
        <v>13</v>
      </c>
      <c r="G243" s="2">
        <v>3129</v>
      </c>
      <c r="H243" s="2">
        <v>3209.9</v>
      </c>
      <c r="I243" s="2">
        <v>3120.4</v>
      </c>
      <c r="J243" s="2">
        <v>3130.3</v>
      </c>
      <c r="K243" s="2">
        <v>3131</v>
      </c>
      <c r="L243" s="2">
        <v>3135.85</v>
      </c>
      <c r="M243" s="2">
        <v>3158.97</v>
      </c>
      <c r="N243" s="2">
        <v>3743.9</v>
      </c>
      <c r="O243" s="2">
        <v>2142</v>
      </c>
      <c r="P243" s="2">
        <v>1607429</v>
      </c>
      <c r="Q243" s="2">
        <v>151256</v>
      </c>
    </row>
    <row r="244" spans="1:17" x14ac:dyDescent="0.3">
      <c r="A244" s="1">
        <v>45566</v>
      </c>
      <c r="B244" s="1" t="str">
        <f>TEXT(A244,"dddd")</f>
        <v>Tuesday</v>
      </c>
      <c r="C244" s="1" t="str">
        <f>TEXT(A244,"mmmm")</f>
        <v>October</v>
      </c>
      <c r="D244" s="1" t="str">
        <f>"Q"&amp;ROUNDUP(MONTH(A244)/3,0)</f>
        <v>Q4</v>
      </c>
      <c r="E244" s="1" t="str">
        <f>TEXT(A244,"yyyy")</f>
        <v>2024</v>
      </c>
      <c r="F244" t="s">
        <v>13</v>
      </c>
      <c r="G244" s="2">
        <v>3136.3</v>
      </c>
      <c r="H244" s="2">
        <v>3192</v>
      </c>
      <c r="I244" s="2">
        <v>3107</v>
      </c>
      <c r="J244" s="2">
        <v>3135.85</v>
      </c>
      <c r="K244" s="2">
        <v>3183</v>
      </c>
      <c r="L244" s="2">
        <v>3186.1</v>
      </c>
      <c r="M244" s="2">
        <v>3156.94</v>
      </c>
      <c r="N244" s="2">
        <v>3743.9</v>
      </c>
      <c r="O244" s="2">
        <v>2142</v>
      </c>
      <c r="P244" s="2">
        <v>1367116</v>
      </c>
      <c r="Q244" s="2">
        <v>151256</v>
      </c>
    </row>
    <row r="245" spans="1:17" x14ac:dyDescent="0.3">
      <c r="A245" s="1">
        <v>45568</v>
      </c>
      <c r="B245" s="1" t="str">
        <f>TEXT(A245,"dddd")</f>
        <v>Thursday</v>
      </c>
      <c r="C245" s="1" t="str">
        <f>TEXT(A245,"mmmm")</f>
        <v>October</v>
      </c>
      <c r="D245" s="1" t="str">
        <f>"Q"&amp;ROUNDUP(MONTH(A245)/3,0)</f>
        <v>Q4</v>
      </c>
      <c r="E245" s="1" t="str">
        <f>TEXT(A245,"yyyy")</f>
        <v>2024</v>
      </c>
      <c r="F245" t="s">
        <v>13</v>
      </c>
      <c r="G245" s="2">
        <v>3150</v>
      </c>
      <c r="H245" s="2">
        <v>3196.35</v>
      </c>
      <c r="I245" s="2">
        <v>3084.1</v>
      </c>
      <c r="J245" s="2">
        <v>3186.1</v>
      </c>
      <c r="K245" s="2">
        <v>3116.7</v>
      </c>
      <c r="L245" s="2">
        <v>3116</v>
      </c>
      <c r="M245" s="2">
        <v>3130.54</v>
      </c>
      <c r="N245" s="2">
        <v>3743.9</v>
      </c>
      <c r="O245" s="2">
        <v>2142</v>
      </c>
      <c r="P245" s="2">
        <v>1309703</v>
      </c>
      <c r="Q245" s="2">
        <v>151256</v>
      </c>
    </row>
    <row r="246" spans="1:17" x14ac:dyDescent="0.3">
      <c r="A246" s="1">
        <v>45569</v>
      </c>
      <c r="B246" s="1" t="str">
        <f>TEXT(A246,"dddd")</f>
        <v>Friday</v>
      </c>
      <c r="C246" s="1" t="str">
        <f>TEXT(A246,"mmmm")</f>
        <v>October</v>
      </c>
      <c r="D246" s="1" t="str">
        <f>"Q"&amp;ROUNDUP(MONTH(A246)/3,0)</f>
        <v>Q4</v>
      </c>
      <c r="E246" s="1" t="str">
        <f>TEXT(A246,"yyyy")</f>
        <v>2024</v>
      </c>
      <c r="F246" t="s">
        <v>13</v>
      </c>
      <c r="G246" s="2">
        <v>3119.9</v>
      </c>
      <c r="H246" s="2">
        <v>3149.5</v>
      </c>
      <c r="I246" s="2">
        <v>3070</v>
      </c>
      <c r="J246" s="2">
        <v>3116</v>
      </c>
      <c r="K246" s="2">
        <v>3110</v>
      </c>
      <c r="L246" s="2">
        <v>3110.65</v>
      </c>
      <c r="M246" s="2">
        <v>3110.13</v>
      </c>
      <c r="N246" s="2">
        <v>3743.9</v>
      </c>
      <c r="O246" s="2">
        <v>2142</v>
      </c>
      <c r="P246" s="2">
        <v>987583</v>
      </c>
      <c r="Q246" s="2">
        <v>151256</v>
      </c>
    </row>
    <row r="247" spans="1:17" x14ac:dyDescent="0.3">
      <c r="A247" s="1">
        <v>45572</v>
      </c>
      <c r="B247" s="1" t="str">
        <f>TEXT(A247,"dddd")</f>
        <v>Monday</v>
      </c>
      <c r="C247" s="1" t="str">
        <f>TEXT(A247,"mmmm")</f>
        <v>October</v>
      </c>
      <c r="D247" s="1" t="str">
        <f>"Q"&amp;ROUNDUP(MONTH(A247)/3,0)</f>
        <v>Q4</v>
      </c>
      <c r="E247" s="1" t="str">
        <f>TEXT(A247,"yyyy")</f>
        <v>2024</v>
      </c>
      <c r="F247" t="s">
        <v>13</v>
      </c>
      <c r="G247" s="2">
        <v>3110.65</v>
      </c>
      <c r="H247" s="2">
        <v>3128.5</v>
      </c>
      <c r="I247" s="2">
        <v>2980.45</v>
      </c>
      <c r="J247" s="2">
        <v>3110.65</v>
      </c>
      <c r="K247" s="2">
        <v>3011</v>
      </c>
      <c r="L247" s="2">
        <v>3018</v>
      </c>
      <c r="M247" s="2">
        <v>3029.34</v>
      </c>
      <c r="N247" s="2">
        <v>3743.9</v>
      </c>
      <c r="O247" s="2">
        <v>2142</v>
      </c>
      <c r="P247" s="2">
        <v>1743454</v>
      </c>
      <c r="Q247" s="2">
        <v>151256</v>
      </c>
    </row>
    <row r="248" spans="1:17" x14ac:dyDescent="0.3">
      <c r="A248" s="1">
        <v>45573</v>
      </c>
      <c r="B248" s="1" t="str">
        <f>TEXT(A248,"dddd")</f>
        <v>Tuesday</v>
      </c>
      <c r="C248" s="1" t="str">
        <f>TEXT(A248,"mmmm")</f>
        <v>October</v>
      </c>
      <c r="D248" s="1" t="str">
        <f>"Q"&amp;ROUNDUP(MONTH(A248)/3,0)</f>
        <v>Q4</v>
      </c>
      <c r="E248" s="1" t="str">
        <f>TEXT(A248,"yyyy")</f>
        <v>2024</v>
      </c>
      <c r="F248" t="s">
        <v>13</v>
      </c>
      <c r="G248" s="2">
        <v>3018.5</v>
      </c>
      <c r="H248" s="2">
        <v>3170</v>
      </c>
      <c r="I248" s="2">
        <v>2994.85</v>
      </c>
      <c r="J248" s="2">
        <v>3018</v>
      </c>
      <c r="K248" s="2">
        <v>3166.95</v>
      </c>
      <c r="L248" s="2">
        <v>3160.7</v>
      </c>
      <c r="M248" s="2">
        <v>3110.96</v>
      </c>
      <c r="N248" s="2">
        <v>3743.9</v>
      </c>
      <c r="O248" s="2">
        <v>2142</v>
      </c>
      <c r="P248" s="2">
        <v>1776511</v>
      </c>
      <c r="Q248" s="2">
        <v>151256</v>
      </c>
    </row>
    <row r="249" spans="1:17" x14ac:dyDescent="0.3">
      <c r="A249" s="1">
        <v>45574</v>
      </c>
      <c r="B249" s="1" t="str">
        <f>TEXT(A249,"dddd")</f>
        <v>Wednesday</v>
      </c>
      <c r="C249" s="1" t="str">
        <f>TEXT(A249,"mmmm")</f>
        <v>October</v>
      </c>
      <c r="D249" s="1" t="str">
        <f>"Q"&amp;ROUNDUP(MONTH(A249)/3,0)</f>
        <v>Q4</v>
      </c>
      <c r="E249" s="1" t="str">
        <f>TEXT(A249,"yyyy")</f>
        <v>2024</v>
      </c>
      <c r="F249" t="s">
        <v>13</v>
      </c>
      <c r="G249" s="2">
        <v>3175</v>
      </c>
      <c r="H249" s="2">
        <v>3179.95</v>
      </c>
      <c r="I249" s="2">
        <v>3134.4</v>
      </c>
      <c r="J249" s="2">
        <v>3160.7</v>
      </c>
      <c r="K249" s="2">
        <v>3152.4</v>
      </c>
      <c r="L249" s="2">
        <v>3153.75</v>
      </c>
      <c r="M249" s="2">
        <v>3155.44</v>
      </c>
      <c r="N249" s="2">
        <v>3743.9</v>
      </c>
      <c r="O249" s="2">
        <v>2142</v>
      </c>
      <c r="P249" s="2">
        <v>897335</v>
      </c>
      <c r="Q249" s="2">
        <v>151256</v>
      </c>
    </row>
    <row r="250" spans="1:17" x14ac:dyDescent="0.3">
      <c r="A250" s="1">
        <v>45575</v>
      </c>
      <c r="B250" s="1" t="str">
        <f>TEXT(A250,"dddd")</f>
        <v>Thursday</v>
      </c>
      <c r="C250" s="1" t="str">
        <f>TEXT(A250,"mmmm")</f>
        <v>October</v>
      </c>
      <c r="D250" s="1" t="str">
        <f>"Q"&amp;ROUNDUP(MONTH(A250)/3,0)</f>
        <v>Q4</v>
      </c>
      <c r="E250" s="1" t="str">
        <f>TEXT(A250,"yyyy")</f>
        <v>2024</v>
      </c>
      <c r="F250" t="s">
        <v>13</v>
      </c>
      <c r="G250" s="2">
        <v>3140</v>
      </c>
      <c r="H250" s="2">
        <v>3211</v>
      </c>
      <c r="I250" s="2">
        <v>3056.1</v>
      </c>
      <c r="J250" s="2">
        <v>3153.75</v>
      </c>
      <c r="K250" s="2">
        <v>3194.8</v>
      </c>
      <c r="L250" s="2">
        <v>3174.2</v>
      </c>
      <c r="M250" s="2">
        <v>3120.45</v>
      </c>
      <c r="N250" s="2">
        <v>3743.9</v>
      </c>
      <c r="O250" s="2">
        <v>2142</v>
      </c>
      <c r="P250" s="2">
        <v>2905725</v>
      </c>
      <c r="Q250" s="2">
        <v>151256</v>
      </c>
    </row>
    <row r="1048551" spans="19:19" x14ac:dyDescent="0.3">
      <c r="S1048551">
        <f ca="1">S1048551</f>
        <v>0</v>
      </c>
    </row>
  </sheetData>
  <sortState xmlns:xlrd2="http://schemas.microsoft.com/office/spreadsheetml/2017/richdata2" ref="A2:D1048553">
    <sortCondition ref="A1:A10485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Quote-Equity-ADANIENT-EQ-11-10-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HP-PC</dc:creator>
  <cp:lastModifiedBy>shalu prajapati</cp:lastModifiedBy>
  <dcterms:created xsi:type="dcterms:W3CDTF">2024-10-11T12:15:58Z</dcterms:created>
  <dcterms:modified xsi:type="dcterms:W3CDTF">2024-10-11T12:15:58Z</dcterms:modified>
</cp:coreProperties>
</file>